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cuments\"/>
    </mc:Choice>
  </mc:AlternateContent>
  <bookViews>
    <workbookView xWindow="-105" yWindow="-105" windowWidth="21795" windowHeight="12975" activeTab="1"/>
  </bookViews>
  <sheets>
    <sheet name="Sheet5" sheetId="6" r:id="rId1"/>
    <sheet name="DASH" sheetId="7" r:id="rId2"/>
    <sheet name="Data" sheetId="1" r:id="rId3"/>
  </sheets>
  <definedNames>
    <definedName name="_xlcn.WorksheetConnection_RealEstatedatasetwithCoachAnietie.xlsxTable21" hidden="1">Table2[]</definedName>
    <definedName name="Slicer_Gender_Icons">#N/A</definedName>
    <definedName name="Slicer_Inspection_Icon">#N/A</definedName>
    <definedName name="Slicer_Product_Icon">#N/A</definedName>
    <definedName name="Slicer_Sales_Person">#N/A</definedName>
    <definedName name="Slicer_State">#N/A</definedName>
  </definedNames>
  <calcPr calcId="152511"/>
  <pivotCaches>
    <pivotCache cacheId="26" r:id="rId4"/>
    <pivotCache cacheId="27" r:id="rId5"/>
    <pivotCache cacheId="28" r:id="rId6"/>
    <pivotCache cacheId="29" r:id="rId7"/>
    <pivotCache cacheId="30" r:id="rId8"/>
  </pivotCaches>
  <extLst>
    <ext xmlns:x14="http://schemas.microsoft.com/office/spreadsheetml/2009/9/main" uri="{876F7934-8845-4945-9796-88D515C7AA90}">
      <x14:pivotCaches>
        <pivotCache cacheId="31"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c22f15a3-17f1-4d59-b006-e8dbcb0bbb10" name="Table2" connection="WorksheetConnection_Real Estate dataset with Coach Anietie.xlsx!Table2"/>
        </x15:modelTables>
      </x15:dataModel>
    </ext>
  </extLst>
</workbook>
</file>

<file path=xl/calcChain.xml><?xml version="1.0" encoding="utf-8"?>
<calcChain xmlns="http://schemas.openxmlformats.org/spreadsheetml/2006/main">
  <c r="B226" i="1" l="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F19" i="7"/>
  <c r="J12" i="7"/>
  <c r="F12" i="7"/>
  <c r="J19" i="7"/>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Real Estate dataset with Coach Anietie.xlsx!Table2" type="102" refreshedVersion="5" minRefreshableVersion="5">
    <extLst>
      <ext xmlns:x15="http://schemas.microsoft.com/office/spreadsheetml/2010/11/main" uri="{DE250136-89BD-433C-8126-D09CA5730AF9}">
        <x15:connection id="Table2-c22f15a3-17f1-4d59-b006-e8dbcb0bbb10" autoDelete="1">
          <x15:rangePr sourceName="_xlcn.WorksheetConnection_RealEstatedatasetwithCoachAnietie.xlsxTable21"/>
        </x15:connection>
      </ext>
    </extLst>
  </connection>
</connections>
</file>

<file path=xl/sharedStrings.xml><?xml version="1.0" encoding="utf-8"?>
<sst xmlns="http://schemas.openxmlformats.org/spreadsheetml/2006/main" count="2558" uniqueCount="285">
  <si>
    <t>Client ID</t>
  </si>
  <si>
    <t xml:space="preserve">Client Gender </t>
  </si>
  <si>
    <t xml:space="preserve">Sales Person </t>
  </si>
  <si>
    <t xml:space="preserve">Date Given </t>
  </si>
  <si>
    <t>Sales</t>
  </si>
  <si>
    <t xml:space="preserve">State       </t>
  </si>
  <si>
    <t>Product</t>
  </si>
  <si>
    <t>Inspection</t>
  </si>
  <si>
    <t>Status</t>
  </si>
  <si>
    <t>Gender Icons</t>
  </si>
  <si>
    <t>Product Icon</t>
  </si>
  <si>
    <t>Inspection Icon</t>
  </si>
  <si>
    <t>1</t>
  </si>
  <si>
    <t>Female</t>
  </si>
  <si>
    <t>Olumide</t>
  </si>
  <si>
    <t>Paid</t>
  </si>
  <si>
    <t>Lagos</t>
  </si>
  <si>
    <t>Residential</t>
  </si>
  <si>
    <t>Yes</t>
  </si>
  <si>
    <t>👩</t>
  </si>
  <si>
    <t>🏠</t>
  </si>
  <si>
    <t>✅</t>
  </si>
  <si>
    <t>2</t>
  </si>
  <si>
    <t>Male</t>
  </si>
  <si>
    <t>Ngozi</t>
  </si>
  <si>
    <t>Too Expensive</t>
  </si>
  <si>
    <t>Commercial</t>
  </si>
  <si>
    <t>No</t>
  </si>
  <si>
    <t>Pending</t>
  </si>
  <si>
    <t>👨</t>
  </si>
  <si>
    <t>🏢</t>
  </si>
  <si>
    <t>❌</t>
  </si>
  <si>
    <t>3</t>
  </si>
  <si>
    <t>Ahmed</t>
  </si>
  <si>
    <t>Not Interested</t>
  </si>
  <si>
    <t>PH</t>
  </si>
  <si>
    <t>4</t>
  </si>
  <si>
    <t>Funmi</t>
  </si>
  <si>
    <t>Next Time</t>
  </si>
  <si>
    <t>5</t>
  </si>
  <si>
    <t>Chukwudi</t>
  </si>
  <si>
    <t>6</t>
  </si>
  <si>
    <t>Chioma</t>
  </si>
  <si>
    <t>7</t>
  </si>
  <si>
    <t>8</t>
  </si>
  <si>
    <t>9</t>
  </si>
  <si>
    <t>Industrial</t>
  </si>
  <si>
    <t>🏭</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</si>
  <si>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</si>
  <si>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</si>
  <si>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</si>
  <si>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</si>
  <si>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</si>
  <si>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</si>
  <si>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</si>
  <si>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</si>
  <si>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</si>
  <si>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</si>
  <si>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</si>
  <si>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</si>
  <si>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</si>
  <si>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</si>
  <si>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</si>
  <si>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</si>
  <si>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</si>
  <si>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</si>
  <si>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</si>
  <si>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</si>
  <si>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</si>
  <si>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</si>
  <si>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</si>
  <si>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</si>
  <si>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</si>
  <si>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</si>
  <si>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</si>
  <si>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</si>
  <si>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</si>
  <si>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</si>
  <si>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</si>
  <si>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</si>
  <si>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</si>
  <si>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</si>
  <si>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</si>
  <si>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</si>
  <si>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</si>
  <si>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</si>
  <si>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</si>
  <si>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</si>
  <si>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</si>
  <si>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</si>
  <si>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</si>
  <si>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</si>
  <si>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</si>
  <si>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</si>
  <si>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</si>
  <si>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</si>
  <si>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</si>
  <si>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</si>
  <si>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</si>
  <si>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</si>
  <si>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</si>
  <si>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</si>
  <si>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</si>
  <si>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</si>
  <si>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</si>
  <si>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</si>
  <si>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</si>
  <si>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</si>
  <si>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</si>
  <si>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</si>
  <si>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</si>
  <si>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</si>
  <si>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</si>
  <si>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</si>
  <si>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</si>
  <si>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</si>
  <si>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</si>
  <si>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</si>
  <si>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</si>
  <si>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</si>
  <si>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</si>
  <si>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</si>
  <si>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</si>
  <si>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</si>
  <si>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</si>
  <si>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</si>
  <si>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</si>
  <si>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</si>
  <si>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</si>
  <si>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</si>
  <si>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</si>
  <si>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</si>
  <si>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</si>
  <si>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</si>
  <si>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</si>
  <si>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</si>
  <si>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</si>
  <si>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</si>
  <si>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</si>
  <si>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</si>
  <si>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</si>
  <si>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</si>
  <si>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</si>
  <si>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</si>
  <si>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</si>
  <si>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</si>
  <si>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</si>
  <si>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</si>
  <si>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</si>
  <si>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</si>
  <si>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</si>
  <si>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</si>
  <si>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</si>
  <si>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</si>
  <si>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</si>
  <si>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</si>
  <si>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</si>
  <si>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</si>
  <si>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</si>
  <si>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</si>
  <si>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</si>
  <si>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</si>
  <si>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</si>
  <si>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</si>
  <si>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</si>
  <si>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</si>
  <si>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</si>
  <si>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</si>
  <si>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</si>
  <si>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</si>
  <si>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</si>
  <si>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</si>
  <si>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</si>
  <si>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</si>
  <si>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</si>
  <si>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</si>
  <si>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</si>
  <si>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</si>
  <si>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</si>
  <si>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</si>
  <si>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</si>
  <si>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</si>
  <si>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</si>
  <si>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</si>
  <si>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</si>
  <si>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</si>
  <si>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</si>
  <si>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</si>
  <si>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</si>
  <si>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</si>
  <si>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</si>
  <si>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</si>
  <si>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</si>
  <si>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</si>
  <si>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</si>
  <si>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</si>
  <si>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</si>
  <si>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</si>
  <si>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</si>
  <si>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</si>
  <si>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</si>
  <si>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</si>
  <si>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</si>
  <si>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</si>
  <si>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</si>
  <si>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</si>
  <si>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</si>
  <si>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</si>
  <si>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</si>
  <si>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</si>
  <si>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</si>
  <si>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</si>
  <si>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</si>
  <si>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</si>
  <si>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</si>
  <si>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</si>
  <si>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</si>
  <si>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</si>
  <si>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</si>
  <si>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</si>
  <si>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</si>
  <si>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</si>
  <si>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</si>
  <si>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</si>
  <si>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</si>
  <si>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</si>
  <si>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</si>
  <si>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</si>
  <si>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</si>
  <si>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</si>
  <si>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</si>
  <si>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</si>
  <si>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</si>
  <si>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</si>
  <si>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</si>
  <si>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</si>
  <si>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</si>
  <si>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</si>
  <si>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</si>
  <si>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</si>
  <si>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</si>
  <si>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</si>
  <si>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</si>
  <si>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</si>
  <si>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</si>
  <si>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</si>
  <si>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</si>
  <si>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</si>
  <si>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</si>
  <si>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</si>
  <si>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</si>
  <si>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</si>
  <si>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</si>
  <si>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</si>
  <si>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</si>
  <si>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</si>
  <si>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</si>
  <si>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</si>
  <si>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</si>
  <si>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</si>
  <si>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</si>
  <si>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</si>
  <si>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</si>
  <si>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</si>
  <si>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Row Labels</t>
  </si>
  <si>
    <t>Grand Total</t>
  </si>
  <si>
    <t>Count of Client ID</t>
  </si>
  <si>
    <t xml:space="preserve">Count of Client Gender </t>
  </si>
  <si>
    <t>Count of Sales</t>
  </si>
  <si>
    <t>Count of Product</t>
  </si>
  <si>
    <t>Sales Executives</t>
  </si>
  <si>
    <t>Clients</t>
  </si>
  <si>
    <t>Leads Distribution</t>
  </si>
  <si>
    <t>Coversion Rate %</t>
  </si>
  <si>
    <t>Gender</t>
  </si>
  <si>
    <t>Branches</t>
  </si>
  <si>
    <t>Properties</t>
  </si>
  <si>
    <t>Average of Conversation Rate</t>
  </si>
  <si>
    <t>Sum of Clients</t>
  </si>
  <si>
    <t>DAVDAN</t>
  </si>
  <si>
    <t>Real Estate Agency</t>
  </si>
  <si>
    <t xml:space="preserve">Performance Dashboard </t>
  </si>
  <si>
    <t>Pending Leads</t>
  </si>
  <si>
    <t>Total Clients</t>
  </si>
  <si>
    <t>Total Leads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</si>
</sst>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6">
    <font>
      <sz val="11"/>
      <color theme="1"/>
      <name val="Aptos Narrow"/>
      <family val="2"/>
      <scheme val="minor"/>
    </font>
    <font>
      <sz val="11"/>
      <color theme="1" tint="0.499984740745262"/>
      <name val="Aptos Narrow"/>
      <family val="2"/>
      <scheme val="minor"/>
    </font>
    <font>
      <sz val="16"/>
      <color theme="0"/>
      <name val="Aptos Narrow"/>
      <family val="2"/>
      <scheme val="minor"/>
    </font>
    <font>
      <sz val="10"/>
      <color theme="1" tint="0.499984740745262"/>
      <name val="Aptos Narrow"/>
      <family val="2"/>
      <scheme val="minor"/>
    </font>
    <font>
      <sz val="16"/>
      <color theme="2" tint="-9.9978637043366805E-2"/>
      <name val="Aptos Narrow"/>
      <family val="2"/>
      <scheme val="minor"/>
    </font>
    <font>
      <b/>
      <sz val="14"/>
      <color theme="0"/>
      <name val="Aptos Narrow"/>
      <charset val="1"/>
      <scheme val="minor"/>
    </font>
  </fonts>
  <fills count="4">
    <fill>
      <patternFill patternType="none"/>
    </fill>
    <fill>
      <patternFill patternType="gray125"/>
    </fill>
    <fill>
      <patternFill patternType="solid">
        <fgColor theme="2" tint="-0.749992370372631"/>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3" borderId="0" xfId="0" applyFont="1" applyFill="1"/>
    <xf numFmtId="0" fontId="1" fillId="2" borderId="0" xfId="0" applyFont="1" applyFill="1"/>
    <xf numFmtId="164"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horizontal="left" indent="1"/>
    </xf>
    <xf numFmtId="0" fontId="3" fillId="2" borderId="0" xfId="0" applyFont="1" applyFill="1" applyAlignment="1">
      <alignment horizontal="left"/>
    </xf>
    <xf numFmtId="0" fontId="2" fillId="2" borderId="0" xfId="0" applyFont="1" applyFill="1" applyAlignment="1">
      <alignment horizontal="center"/>
    </xf>
    <xf numFmtId="0" fontId="2" fillId="2" borderId="0" xfId="0" applyFont="1" applyFill="1" applyAlignment="1">
      <alignment horizontal="right"/>
    </xf>
    <xf numFmtId="0" fontId="5" fillId="2" borderId="0" xfId="0" applyFont="1" applyFill="1" applyAlignment="1">
      <alignment horizontal="left" vertical="top"/>
    </xf>
    <xf numFmtId="0" fontId="1" fillId="2" borderId="0" xfId="0" applyFont="1" applyFill="1" applyAlignment="1">
      <alignment horizontal="center"/>
    </xf>
    <xf numFmtId="0" fontId="4" fillId="3" borderId="0" xfId="0" applyFont="1" applyFill="1" applyAlignment="1">
      <alignment horizontal="left" vertical="center"/>
    </xf>
  </cellXfs>
  <cellStyles count="1">
    <cellStyle name="Normal" xfId="0" builtinId="0"/>
  </cellStyles>
  <dxfs count="4">
    <dxf>
      <numFmt numFmtId="0" formatCode="General"/>
    </dxf>
    <dxf>
      <font>
        <sz val="8"/>
        <color theme="2"/>
      </font>
      <fill>
        <patternFill>
          <fgColor theme="2" tint="-0.749961851863155"/>
          <bgColor theme="2" tint="-0.749961851863155"/>
        </patternFill>
      </fill>
      <border>
        <left style="thin">
          <color auto="1"/>
        </left>
        <right style="thin">
          <color auto="1"/>
        </right>
        <top style="thin">
          <color auto="1"/>
        </top>
        <bottom style="thin">
          <color auto="1"/>
        </bottom>
      </border>
    </dxf>
    <dxf>
      <fill>
        <patternFill>
          <bgColor theme="1" tint="4.9989318521683403E-2"/>
        </patternFill>
      </fill>
    </dxf>
    <dxf>
      <font>
        <sz val="8"/>
        <color theme="2" tint="-0.24994659260841701"/>
      </font>
      <fill>
        <patternFill patternType="lightHorizontal">
          <fgColor theme="2" tint="-0.749961851863155"/>
          <bgColor theme="2" tint="-0.749961851863155"/>
        </patternFill>
      </fill>
      <border diagonalUp="0" diagonalDown="0">
        <left/>
        <right/>
        <top/>
        <bottom/>
        <vertical/>
        <horizontal/>
      </border>
    </dxf>
  </dxfs>
  <tableStyles count="2" defaultTableStyle="TableStyleMedium2" defaultPivotStyle="PivotStyleLight16">
    <tableStyle name="Slicer Style 1" pivot="0" table="0" count="3">
      <tableStyleElement type="wholeTable" dxfId="3"/>
      <tableStyleElement type="headerRow" dxfId="2"/>
    </tableStyle>
    <tableStyle name="Slicer Style 2" pivot="0" table="0" count="2">
      <tableStyleElement type="wholeTable" dxfId="1"/>
    </tableStyle>
  </tableStyles>
  <colors>
    <mruColors>
      <color rgb="FFC200DE"/>
    </mruColors>
  </colors>
  <extLst>
    <ext xmlns:x14="http://schemas.microsoft.com/office/spreadsheetml/2009/9/main" uri="{46F421CA-312F-682f-3DD2-61675219B42D}">
      <x14:dxfs count="2">
        <dxf>
          <font>
            <sz val="8"/>
            <color theme="1" tint="4.9989318521683403E-2"/>
          </font>
          <border diagonalUp="0" diagonalDown="0">
            <left/>
            <right/>
            <top/>
            <bottom/>
            <vertical/>
            <horizontal/>
          </border>
        </dxf>
        <dxf>
          <font>
            <b/>
            <i val="0"/>
            <sz val="8"/>
            <color theme="0"/>
          </font>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5.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Sheet5!$W$3</c:f>
              <c:strCache>
                <c:ptCount val="1"/>
                <c:pt idx="0">
                  <c:v>Count of Client ID</c:v>
                </c:pt>
              </c:strCache>
            </c:strRef>
          </c:tx>
          <c:spPr>
            <a:solidFill>
              <a:schemeClr val="accent1"/>
            </a:solidFill>
            <a:ln>
              <a:noFill/>
            </a:ln>
            <a:effectLst/>
          </c:spPr>
          <c:invertIfNegative val="0"/>
          <c:cat>
            <c:strRef>
              <c:f>Sheet5!$V$4:$V$10</c:f>
              <c:strCache>
                <c:ptCount val="6"/>
                <c:pt idx="0">
                  <c:v>Ahmed</c:v>
                </c:pt>
                <c:pt idx="1">
                  <c:v>Chioma</c:v>
                </c:pt>
                <c:pt idx="2">
                  <c:v>Chukwudi</c:v>
                </c:pt>
                <c:pt idx="3">
                  <c:v>Funmi</c:v>
                </c:pt>
                <c:pt idx="4">
                  <c:v>Ngozi</c:v>
                </c:pt>
                <c:pt idx="5">
                  <c:v>Olumide</c:v>
                </c:pt>
              </c:strCache>
            </c:strRef>
          </c:cat>
          <c:val>
            <c:numRef>
              <c:f>Sheet5!$W$4:$W$10</c:f>
              <c:numCache>
                <c:formatCode>General</c:formatCode>
                <c:ptCount val="6"/>
                <c:pt idx="0">
                  <c:v>22</c:v>
                </c:pt>
                <c:pt idx="1">
                  <c:v>48</c:v>
                </c:pt>
                <c:pt idx="2">
                  <c:v>43</c:v>
                </c:pt>
                <c:pt idx="3">
                  <c:v>49</c:v>
                </c:pt>
                <c:pt idx="4">
                  <c:v>21</c:v>
                </c:pt>
                <c:pt idx="5">
                  <c:v>42</c:v>
                </c:pt>
              </c:numCache>
            </c:numRef>
          </c:val>
        </c:ser>
        <c:ser>
          <c:idx val="1"/>
          <c:order val="1"/>
          <c:tx>
            <c:strRef>
              <c:f>Sheet5!$X$3</c:f>
              <c:strCache>
                <c:ptCount val="1"/>
                <c:pt idx="0">
                  <c:v>Sum of Clients</c:v>
                </c:pt>
              </c:strCache>
            </c:strRef>
          </c:tx>
          <c:spPr>
            <a:solidFill>
              <a:schemeClr val="accent2"/>
            </a:solidFill>
            <a:ln>
              <a:noFill/>
            </a:ln>
            <a:effectLst/>
          </c:spPr>
          <c:invertIfNegative val="0"/>
          <c:cat>
            <c:strRef>
              <c:f>Sheet5!$V$4:$V$10</c:f>
              <c:strCache>
                <c:ptCount val="6"/>
                <c:pt idx="0">
                  <c:v>Ahmed</c:v>
                </c:pt>
                <c:pt idx="1">
                  <c:v>Chioma</c:v>
                </c:pt>
                <c:pt idx="2">
                  <c:v>Chukwudi</c:v>
                </c:pt>
                <c:pt idx="3">
                  <c:v>Funmi</c:v>
                </c:pt>
                <c:pt idx="4">
                  <c:v>Ngozi</c:v>
                </c:pt>
                <c:pt idx="5">
                  <c:v>Olumide</c:v>
                </c:pt>
              </c:strCache>
            </c:strRef>
          </c:cat>
          <c:val>
            <c:numRef>
              <c:f>Sheet5!$X$4:$X$10</c:f>
              <c:numCache>
                <c:formatCode>General</c:formatCode>
                <c:ptCount val="6"/>
                <c:pt idx="0">
                  <c:v>5</c:v>
                </c:pt>
                <c:pt idx="1">
                  <c:v>20</c:v>
                </c:pt>
                <c:pt idx="2">
                  <c:v>18</c:v>
                </c:pt>
                <c:pt idx="3">
                  <c:v>28</c:v>
                </c:pt>
                <c:pt idx="4">
                  <c:v>15</c:v>
                </c:pt>
                <c:pt idx="5">
                  <c:v>14</c:v>
                </c:pt>
              </c:numCache>
            </c:numRef>
          </c:val>
        </c:ser>
        <c:dLbls>
          <c:showLegendKey val="0"/>
          <c:showVal val="0"/>
          <c:showCatName val="0"/>
          <c:showSerName val="0"/>
          <c:showPercent val="0"/>
          <c:showBubbleSize val="0"/>
        </c:dLbls>
        <c:gapWidth val="219"/>
        <c:overlap val="-27"/>
        <c:axId val="276002768"/>
        <c:axId val="276003944"/>
      </c:barChart>
      <c:catAx>
        <c:axId val="27600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3944"/>
        <c:crosses val="autoZero"/>
        <c:auto val="1"/>
        <c:lblAlgn val="ctr"/>
        <c:lblOffset val="100"/>
        <c:noMultiLvlLbl val="0"/>
      </c:catAx>
      <c:valAx>
        <c:axId val="276003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bar"/>
        <c:grouping val="clustered"/>
        <c:varyColors val="0"/>
        <c:ser>
          <c:idx val="0"/>
          <c:order val="0"/>
          <c:tx>
            <c:strRef>
              <c:f>Sheet5!$J$3</c:f>
              <c:strCache>
                <c:ptCount val="1"/>
                <c:pt idx="0">
                  <c:v>Total</c:v>
                </c:pt>
              </c:strCache>
            </c:strRef>
          </c:tx>
          <c:spPr>
            <a:solidFill>
              <a:schemeClr val="accent1"/>
            </a:solidFill>
            <a:ln>
              <a:noFill/>
            </a:ln>
            <a:effectLst/>
          </c:spPr>
          <c:invertIfNegative val="0"/>
          <c:cat>
            <c:multiLvlStrRef>
              <c:f>Sheet5!$I$4:$I$13</c:f>
              <c:multiLvlStrCache>
                <c:ptCount val="6"/>
                <c:lvl>
                  <c:pt idx="0">
                    <c:v>Lagos</c:v>
                  </c:pt>
                  <c:pt idx="1">
                    <c:v>PH</c:v>
                  </c:pt>
                  <c:pt idx="2">
                    <c:v>Lagos</c:v>
                  </c:pt>
                  <c:pt idx="3">
                    <c:v>PH</c:v>
                  </c:pt>
                  <c:pt idx="4">
                    <c:v>Lagos</c:v>
                  </c:pt>
                  <c:pt idx="5">
                    <c:v>PH</c:v>
                  </c:pt>
                </c:lvl>
                <c:lvl>
                  <c:pt idx="0">
                    <c:v>Commercial</c:v>
                  </c:pt>
                  <c:pt idx="2">
                    <c:v>Industrial</c:v>
                  </c:pt>
                  <c:pt idx="4">
                    <c:v>Residential</c:v>
                  </c:pt>
                </c:lvl>
              </c:multiLvlStrCache>
            </c:multiLvlStrRef>
          </c:cat>
          <c:val>
            <c:numRef>
              <c:f>Sheet5!$J$4:$J$13</c:f>
              <c:numCache>
                <c:formatCode>General</c:formatCode>
                <c:ptCount val="6"/>
                <c:pt idx="0">
                  <c:v>35</c:v>
                </c:pt>
                <c:pt idx="1">
                  <c:v>69</c:v>
                </c:pt>
                <c:pt idx="2">
                  <c:v>16</c:v>
                </c:pt>
                <c:pt idx="3">
                  <c:v>6</c:v>
                </c:pt>
                <c:pt idx="4">
                  <c:v>81</c:v>
                </c:pt>
                <c:pt idx="5">
                  <c:v>18</c:v>
                </c:pt>
              </c:numCache>
            </c:numRef>
          </c:val>
        </c:ser>
        <c:dLbls>
          <c:showLegendKey val="0"/>
          <c:showVal val="0"/>
          <c:showCatName val="0"/>
          <c:showSerName val="0"/>
          <c:showPercent val="0"/>
          <c:showBubbleSize val="0"/>
        </c:dLbls>
        <c:gapWidth val="182"/>
        <c:axId val="276000416"/>
        <c:axId val="276004336"/>
      </c:barChart>
      <c:catAx>
        <c:axId val="27600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4336"/>
        <c:crosses val="autoZero"/>
        <c:auto val="1"/>
        <c:lblAlgn val="ctr"/>
        <c:lblOffset val="100"/>
        <c:noMultiLvlLbl val="0"/>
      </c:catAx>
      <c:valAx>
        <c:axId val="27600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Sheet5!$D$3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Sheet5!$C$4:$C$6</c:f>
              <c:strCache>
                <c:ptCount val="2"/>
                <c:pt idx="0">
                  <c:v>Female</c:v>
                </c:pt>
                <c:pt idx="1">
                  <c:v>Male</c:v>
                </c:pt>
              </c:strCache>
            </c:strRef>
          </c:cat>
          <c:val>
            <c:numRef>
              <c:f>Sheet5!$D$4:$D$6</c:f>
              <c:numCache>
                <c:formatCode>General</c:formatCode>
                <c:ptCount val="2"/>
                <c:pt idx="0">
                  <c:v>124</c:v>
                </c:pt>
                <c:pt idx="1">
                  <c:v>101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Sheet5!$AB$3</c:f>
              <c:strCache>
                <c:ptCount val="1"/>
                <c:pt idx="0">
                  <c:v>Total</c:v>
                </c:pt>
              </c:strCache>
            </c:strRef>
          </c:tx>
          <c:spPr>
            <a:solidFill>
              <a:schemeClr val="accent1"/>
            </a:solidFill>
            <a:ln>
              <a:noFill/>
            </a:ln>
            <a:effectLst/>
          </c:spPr>
          <c:invertIfNegative val="0"/>
          <c:cat>
            <c:strRef>
              <c:f>Sheet5!$AA$4:$AA$6</c:f>
              <c:strCache>
                <c:ptCount val="2"/>
                <c:pt idx="0">
                  <c:v>No</c:v>
                </c:pt>
                <c:pt idx="1">
                  <c:v>Yes</c:v>
                </c:pt>
              </c:strCache>
            </c:strRef>
          </c:cat>
          <c:val>
            <c:numRef>
              <c:f>Sheet5!$AB$4:$AB$6</c:f>
              <c:numCache>
                <c:formatCode>General</c:formatCode>
                <c:ptCount val="2"/>
                <c:pt idx="0">
                  <c:v>54</c:v>
                </c:pt>
                <c:pt idx="1">
                  <c:v>171</c:v>
                </c:pt>
              </c:numCache>
            </c:numRef>
          </c:val>
        </c:ser>
        <c:dLbls>
          <c:showLegendKey val="0"/>
          <c:showVal val="0"/>
          <c:showCatName val="0"/>
          <c:showSerName val="0"/>
          <c:showPercent val="0"/>
          <c:showBubbleSize val="0"/>
        </c:dLbls>
        <c:gapWidth val="219"/>
        <c:overlap val="-27"/>
        <c:axId val="275999240"/>
        <c:axId val="276000024"/>
      </c:barChart>
      <c:catAx>
        <c:axId val="275999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0024"/>
        <c:crosses val="autoZero"/>
        <c:auto val="1"/>
        <c:lblAlgn val="ctr"/>
        <c:lblOffset val="100"/>
        <c:noMultiLvlLbl val="0"/>
      </c:catAx>
      <c:valAx>
        <c:axId val="276000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99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11.xlsx]Sheet5!PivotTable1</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5">
              <a:lumMod val="75000"/>
            </a:schemeClr>
          </a:solidFill>
          <a:ln>
            <a:noFill/>
          </a:ln>
          <a:effectLst/>
        </c:spPr>
        <c:marker>
          <c:symbol val="none"/>
        </c:marker>
      </c:pivotFmt>
      <c:pivotFmt>
        <c:idx val="8"/>
        <c:spPr>
          <a:solidFill>
            <a:schemeClr val="accent5">
              <a:lumMod val="20000"/>
              <a:lumOff val="80000"/>
            </a:schemeClr>
          </a:solidFill>
          <a:ln>
            <a:noFill/>
          </a:ln>
          <a:effectLst/>
        </c:spPr>
        <c:marker>
          <c:symbol val="none"/>
        </c:marker>
      </c:pivotFmt>
    </c:pivotFmts>
    <c:plotArea>
      <c:layout/>
      <c:barChart>
        <c:barDir val="col"/>
        <c:grouping val="clustered"/>
        <c:varyColors val="0"/>
        <c:ser>
          <c:idx val="0"/>
          <c:order val="0"/>
          <c:tx>
            <c:strRef>
              <c:f>Sheet5!$W$3</c:f>
              <c:strCache>
                <c:ptCount val="1"/>
                <c:pt idx="0">
                  <c:v>Count of Client ID</c:v>
                </c:pt>
              </c:strCache>
            </c:strRef>
          </c:tx>
          <c:spPr>
            <a:solidFill>
              <a:schemeClr val="accent5">
                <a:lumMod val="75000"/>
              </a:schemeClr>
            </a:solidFill>
            <a:ln>
              <a:noFill/>
            </a:ln>
            <a:effectLst/>
          </c:spPr>
          <c:invertIfNegative val="0"/>
          <c:cat>
            <c:strRef>
              <c:f>Sheet5!$V$4:$V$10</c:f>
              <c:strCache>
                <c:ptCount val="6"/>
                <c:pt idx="0">
                  <c:v>Ahmed</c:v>
                </c:pt>
                <c:pt idx="1">
                  <c:v>Chioma</c:v>
                </c:pt>
                <c:pt idx="2">
                  <c:v>Chukwudi</c:v>
                </c:pt>
                <c:pt idx="3">
                  <c:v>Funmi</c:v>
                </c:pt>
                <c:pt idx="4">
                  <c:v>Ngozi</c:v>
                </c:pt>
                <c:pt idx="5">
                  <c:v>Olumide</c:v>
                </c:pt>
              </c:strCache>
            </c:strRef>
          </c:cat>
          <c:val>
            <c:numRef>
              <c:f>Sheet5!$W$4:$W$10</c:f>
              <c:numCache>
                <c:formatCode>General</c:formatCode>
                <c:ptCount val="6"/>
                <c:pt idx="0">
                  <c:v>22</c:v>
                </c:pt>
                <c:pt idx="1">
                  <c:v>48</c:v>
                </c:pt>
                <c:pt idx="2">
                  <c:v>43</c:v>
                </c:pt>
                <c:pt idx="3">
                  <c:v>49</c:v>
                </c:pt>
                <c:pt idx="4">
                  <c:v>21</c:v>
                </c:pt>
                <c:pt idx="5">
                  <c:v>42</c:v>
                </c:pt>
              </c:numCache>
            </c:numRef>
          </c:val>
        </c:ser>
        <c:ser>
          <c:idx val="1"/>
          <c:order val="1"/>
          <c:tx>
            <c:strRef>
              <c:f>Sheet5!$X$3</c:f>
              <c:strCache>
                <c:ptCount val="1"/>
                <c:pt idx="0">
                  <c:v>Sum of Clients</c:v>
                </c:pt>
              </c:strCache>
            </c:strRef>
          </c:tx>
          <c:spPr>
            <a:solidFill>
              <a:schemeClr val="accent5">
                <a:lumMod val="20000"/>
                <a:lumOff val="80000"/>
              </a:schemeClr>
            </a:solidFill>
            <a:ln>
              <a:noFill/>
            </a:ln>
            <a:effectLst/>
          </c:spPr>
          <c:invertIfNegative val="0"/>
          <c:cat>
            <c:strRef>
              <c:f>Sheet5!$V$4:$V$10</c:f>
              <c:strCache>
                <c:ptCount val="6"/>
                <c:pt idx="0">
                  <c:v>Ahmed</c:v>
                </c:pt>
                <c:pt idx="1">
                  <c:v>Chioma</c:v>
                </c:pt>
                <c:pt idx="2">
                  <c:v>Chukwudi</c:v>
                </c:pt>
                <c:pt idx="3">
                  <c:v>Funmi</c:v>
                </c:pt>
                <c:pt idx="4">
                  <c:v>Ngozi</c:v>
                </c:pt>
                <c:pt idx="5">
                  <c:v>Olumide</c:v>
                </c:pt>
              </c:strCache>
            </c:strRef>
          </c:cat>
          <c:val>
            <c:numRef>
              <c:f>Sheet5!$X$4:$X$10</c:f>
              <c:numCache>
                <c:formatCode>General</c:formatCode>
                <c:ptCount val="6"/>
                <c:pt idx="0">
                  <c:v>5</c:v>
                </c:pt>
                <c:pt idx="1">
                  <c:v>20</c:v>
                </c:pt>
                <c:pt idx="2">
                  <c:v>18</c:v>
                </c:pt>
                <c:pt idx="3">
                  <c:v>28</c:v>
                </c:pt>
                <c:pt idx="4">
                  <c:v>15</c:v>
                </c:pt>
                <c:pt idx="5">
                  <c:v>14</c:v>
                </c:pt>
              </c:numCache>
            </c:numRef>
          </c:val>
        </c:ser>
        <c:dLbls>
          <c:showLegendKey val="0"/>
          <c:showVal val="0"/>
          <c:showCatName val="0"/>
          <c:showSerName val="0"/>
          <c:showPercent val="0"/>
          <c:showBubbleSize val="0"/>
        </c:dLbls>
        <c:gapWidth val="219"/>
        <c:overlap val="-3"/>
        <c:axId val="276001592"/>
        <c:axId val="276000808"/>
      </c:barChart>
      <c:catAx>
        <c:axId val="2760015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276000808"/>
        <c:crosses val="autoZero"/>
        <c:auto val="1"/>
        <c:lblAlgn val="ctr"/>
        <c:lblOffset val="100"/>
        <c:noMultiLvlLbl val="0"/>
      </c:catAx>
      <c:valAx>
        <c:axId val="276000808"/>
        <c:scaling>
          <c:orientation val="minMax"/>
        </c:scaling>
        <c:delete val="1"/>
        <c:axPos val="l"/>
        <c:majorGridlines>
          <c:spPr>
            <a:ln w="9525" cap="flat" cmpd="sng" algn="ctr">
              <a:solidFill>
                <a:schemeClr val="tx1"/>
              </a:solidFill>
              <a:round/>
            </a:ln>
            <a:effectLst/>
          </c:spPr>
        </c:majorGridlines>
        <c:numFmt formatCode="General" sourceLinked="1"/>
        <c:majorTickMark val="none"/>
        <c:minorTickMark val="none"/>
        <c:tickLblPos val="nextTo"/>
        <c:crossAx val="276001592"/>
        <c:crosses val="autoZero"/>
        <c:crossBetween val="between"/>
      </c:valAx>
      <c:spPr>
        <a:noFill/>
        <a:ln>
          <a:noFill/>
        </a:ln>
        <a:effectLst/>
      </c:spPr>
    </c:plotArea>
    <c:legend>
      <c:legendPos val="t"/>
      <c:layout>
        <c:manualLayout>
          <c:xMode val="edge"/>
          <c:yMode val="edge"/>
          <c:x val="2.0163379299950954E-4"/>
          <c:y val="2.274879818726112E-2"/>
          <c:w val="0.487446898195245"/>
          <c:h val="0.1313626664457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chart>
  <c:spPr>
    <a:solidFill>
      <a:schemeClr val="bg2">
        <a:lumMod val="25000"/>
      </a:schemeClr>
    </a:solidFill>
    <a:ln w="9525" cap="flat" cmpd="sng" algn="ctr">
      <a:noFill/>
      <a:round/>
    </a:ln>
    <a:effectLst/>
  </c:spPr>
  <c:txPr>
    <a:bodyPr/>
    <a:lstStyle/>
    <a:p>
      <a:pPr>
        <a:defRPr sz="900" baseline="0">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11.xlsx]Sheet5!PivotTable9</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5">
              <a:lumMod val="75000"/>
            </a:schemeClr>
          </a:solidFill>
          <a:ln>
            <a:noFill/>
          </a:ln>
          <a:effectLst/>
        </c:spPr>
        <c:marker>
          <c:symbol val="none"/>
        </c:marker>
      </c:pivotFmt>
    </c:pivotFmts>
    <c:plotArea>
      <c:layout/>
      <c:barChart>
        <c:barDir val="bar"/>
        <c:grouping val="clustered"/>
        <c:varyColors val="0"/>
        <c:ser>
          <c:idx val="0"/>
          <c:order val="0"/>
          <c:tx>
            <c:strRef>
              <c:f>Sheet5!$J$3</c:f>
              <c:strCache>
                <c:ptCount val="1"/>
                <c:pt idx="0">
                  <c:v>Total</c:v>
                </c:pt>
              </c:strCache>
            </c:strRef>
          </c:tx>
          <c:spPr>
            <a:solidFill>
              <a:schemeClr val="accent5">
                <a:lumMod val="75000"/>
              </a:schemeClr>
            </a:solidFill>
            <a:ln>
              <a:noFill/>
            </a:ln>
            <a:effectLst/>
          </c:spPr>
          <c:invertIfNegative val="0"/>
          <c:cat>
            <c:multiLvlStrRef>
              <c:f>Sheet5!$I$4:$I$13</c:f>
              <c:multiLvlStrCache>
                <c:ptCount val="6"/>
                <c:lvl>
                  <c:pt idx="0">
                    <c:v>Lagos</c:v>
                  </c:pt>
                  <c:pt idx="1">
                    <c:v>PH</c:v>
                  </c:pt>
                  <c:pt idx="2">
                    <c:v>Lagos</c:v>
                  </c:pt>
                  <c:pt idx="3">
                    <c:v>PH</c:v>
                  </c:pt>
                  <c:pt idx="4">
                    <c:v>Lagos</c:v>
                  </c:pt>
                  <c:pt idx="5">
                    <c:v>PH</c:v>
                  </c:pt>
                </c:lvl>
                <c:lvl>
                  <c:pt idx="0">
                    <c:v>Commercial</c:v>
                  </c:pt>
                  <c:pt idx="2">
                    <c:v>Industrial</c:v>
                  </c:pt>
                  <c:pt idx="4">
                    <c:v>Residential</c:v>
                  </c:pt>
                </c:lvl>
              </c:multiLvlStrCache>
            </c:multiLvlStrRef>
          </c:cat>
          <c:val>
            <c:numRef>
              <c:f>Sheet5!$J$4:$J$13</c:f>
              <c:numCache>
                <c:formatCode>General</c:formatCode>
                <c:ptCount val="6"/>
                <c:pt idx="0">
                  <c:v>35</c:v>
                </c:pt>
                <c:pt idx="1">
                  <c:v>69</c:v>
                </c:pt>
                <c:pt idx="2">
                  <c:v>16</c:v>
                </c:pt>
                <c:pt idx="3">
                  <c:v>6</c:v>
                </c:pt>
                <c:pt idx="4">
                  <c:v>81</c:v>
                </c:pt>
                <c:pt idx="5">
                  <c:v>18</c:v>
                </c:pt>
              </c:numCache>
            </c:numRef>
          </c:val>
        </c:ser>
        <c:dLbls>
          <c:showLegendKey val="0"/>
          <c:showVal val="0"/>
          <c:showCatName val="0"/>
          <c:showSerName val="0"/>
          <c:showPercent val="0"/>
          <c:showBubbleSize val="0"/>
        </c:dLbls>
        <c:gapWidth val="109"/>
        <c:overlap val="-5"/>
        <c:axId val="276001984"/>
        <c:axId val="276005120"/>
      </c:barChart>
      <c:catAx>
        <c:axId val="276001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276005120"/>
        <c:crosses val="autoZero"/>
        <c:auto val="1"/>
        <c:lblAlgn val="ctr"/>
        <c:lblOffset val="100"/>
        <c:noMultiLvlLbl val="0"/>
      </c:catAx>
      <c:valAx>
        <c:axId val="276005120"/>
        <c:scaling>
          <c:orientation val="minMax"/>
        </c:scaling>
        <c:delete val="1"/>
        <c:axPos val="b"/>
        <c:numFmt formatCode="General" sourceLinked="1"/>
        <c:majorTickMark val="none"/>
        <c:minorTickMark val="none"/>
        <c:tickLblPos val="nextTo"/>
        <c:crossAx val="276001984"/>
        <c:crosses val="autoZero"/>
        <c:crossBetween val="between"/>
      </c:valAx>
      <c:spPr>
        <a:solidFill>
          <a:schemeClr val="bg2">
            <a:lumMod val="25000"/>
          </a:schemeClr>
        </a:solidFill>
        <a:ln>
          <a:noFill/>
        </a:ln>
        <a:effectLst/>
      </c:spPr>
    </c:plotArea>
    <c:plotVisOnly val="1"/>
    <c:dispBlanksAs val="gap"/>
    <c:showDLblsOverMax val="0"/>
  </c:chart>
  <c:spPr>
    <a:solidFill>
      <a:schemeClr val="bg2">
        <a:lumMod val="25000"/>
      </a:schemeClr>
    </a:solidFill>
    <a:ln w="9525" cap="flat" cmpd="sng" algn="ctr">
      <a:noFill/>
      <a:round/>
    </a:ln>
    <a:effectLst/>
  </c:spPr>
  <c:txPr>
    <a:bodyPr/>
    <a:lstStyle/>
    <a:p>
      <a:pPr>
        <a:defRPr>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11.xlsx]Sheet5!PivotTable7</c:name>
    <c:fmtId val="3"/>
  </c:pivotSource>
  <c:chart>
    <c:autoTitleDeleted val="1"/>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4.9484528048619539E-2"/>
              <c:y val="8.71508686582039E-2"/>
            </c:manualLayout>
          </c:layout>
          <c:spPr>
            <a:noFill/>
            <a:ln>
              <a:noFill/>
            </a:ln>
            <a:effectLst/>
          </c:spPr>
          <c:txPr>
            <a:bodyPr rot="0" spcFirstLastPara="1" vertOverflow="ellipsis" vert="horz" wrap="square" anchor="ctr" anchorCtr="1"/>
            <a:lstStyle/>
            <a:p>
              <a:pPr>
                <a:defRPr sz="900" b="1" i="0" u="none" strike="noStrike" kern="1200" baseline="0">
                  <a:solidFill>
                    <a:schemeClr val="bg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tx1"/>
          </a:solidFill>
          <a:ln>
            <a:noFill/>
          </a:ln>
          <a:effectLst/>
          <a:scene3d>
            <a:camera prst="orthographicFront"/>
            <a:lightRig rig="brightRoom" dir="t"/>
          </a:scene3d>
          <a:sp3d prstMaterial="flat">
            <a:bevelT w="50800" h="101600" prst="angle"/>
            <a:contourClr>
              <a:srgbClr val="000000"/>
            </a:contourClr>
          </a:sp3d>
        </c:spPr>
        <c:dLbl>
          <c:idx val="0"/>
          <c:layout>
            <c:manualLayout>
              <c:x val="0.12371132012154869"/>
              <c:y val="-9.3854781631911896E-2"/>
            </c:manualLayout>
          </c:layout>
          <c:spPr>
            <a:noFill/>
            <a:ln>
              <a:noFill/>
            </a:ln>
            <a:effectLst/>
          </c:spPr>
          <c:txPr>
            <a:bodyPr rot="0" spcFirstLastPara="1" vertOverflow="ellipsis" vert="horz" wrap="square" anchor="ctr" anchorCtr="1"/>
            <a:lstStyle/>
            <a:p>
              <a:pPr>
                <a:defRPr sz="900" b="1" i="0" u="none" strike="noStrike" kern="1200" baseline="0">
                  <a:solidFill>
                    <a:schemeClr val="bg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Sheet5!$D$3</c:f>
              <c:strCache>
                <c:ptCount val="1"/>
                <c:pt idx="0">
                  <c:v>Total</c:v>
                </c:pt>
              </c:strCache>
            </c:strRef>
          </c:tx>
          <c:dPt>
            <c:idx val="0"/>
            <c:bubble3D val="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tx1"/>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4.9484528048619539E-2"/>
                  <c:y val="8.71508686582039E-2"/>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12371132012154869"/>
                  <c:y val="-9.3854781631911896E-2"/>
                </c:manualLayout>
              </c:layou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1" i="0" u="none" strike="noStrike" kern="1200" baseline="0">
                    <a:solidFill>
                      <a:schemeClr val="bg2">
                        <a:lumMod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Sheet5!$C$4:$C$6</c:f>
              <c:strCache>
                <c:ptCount val="2"/>
                <c:pt idx="0">
                  <c:v>Female</c:v>
                </c:pt>
                <c:pt idx="1">
                  <c:v>Male</c:v>
                </c:pt>
              </c:strCache>
            </c:strRef>
          </c:cat>
          <c:val>
            <c:numRef>
              <c:f>Sheet5!$D$4:$D$6</c:f>
              <c:numCache>
                <c:formatCode>General</c:formatCode>
                <c:ptCount val="2"/>
                <c:pt idx="0">
                  <c:v>124</c:v>
                </c:pt>
                <c:pt idx="1">
                  <c:v>101</c:v>
                </c:pt>
              </c:numCache>
            </c:numRef>
          </c:val>
        </c:ser>
        <c:dLbls>
          <c:showLegendKey val="0"/>
          <c:showVal val="0"/>
          <c:showCatName val="0"/>
          <c:showSerName val="0"/>
          <c:showPercent val="1"/>
          <c:showBubbleSize val="0"/>
          <c:showLeaderLines val="1"/>
        </c:dLbls>
        <c:firstSliceAng val="142"/>
        <c:holeSize val="74"/>
      </c:doughnutChart>
      <c:spPr>
        <a:noFill/>
        <a:ln>
          <a:noFill/>
        </a:ln>
        <a:effectLst/>
      </c:spPr>
    </c:plotArea>
    <c:legend>
      <c:legendPos val="t"/>
      <c:layout>
        <c:manualLayout>
          <c:xMode val="edge"/>
          <c:yMode val="edge"/>
          <c:x val="2.5813779395441297E-3"/>
          <c:y val="1.3029227278793541E-2"/>
          <c:w val="0.53710487261873974"/>
          <c:h val="0.109138662751901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chart>
  <c:spPr>
    <a:solidFill>
      <a:schemeClr val="bg2">
        <a:lumMod val="25000"/>
      </a:schemeClr>
    </a:solidFill>
    <a:ln w="9525" cap="flat" cmpd="sng" algn="ctr">
      <a:noFill/>
      <a:round/>
    </a:ln>
    <a:effectLst/>
  </c:spPr>
  <c:txPr>
    <a:bodyPr/>
    <a:lstStyle/>
    <a:p>
      <a:pPr>
        <a:defRPr>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Report 11.xlsx]Sheet5!PivotTable2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tx1"/>
          </a:solidFill>
          <a:ln>
            <a:noFill/>
          </a:ln>
          <a:effectLst/>
        </c:spPr>
      </c:pivotFmt>
      <c:pivotFmt>
        <c:idx val="4"/>
        <c:spPr>
          <a:solidFill>
            <a:schemeClr val="accent5">
              <a:lumMod val="75000"/>
            </a:schemeClr>
          </a:solidFill>
          <a:ln>
            <a:noFill/>
          </a:ln>
          <a:effectLst/>
        </c:spPr>
      </c:pivotFmt>
    </c:pivotFmts>
    <c:plotArea>
      <c:layout/>
      <c:barChart>
        <c:barDir val="col"/>
        <c:grouping val="clustered"/>
        <c:varyColors val="0"/>
        <c:ser>
          <c:idx val="0"/>
          <c:order val="0"/>
          <c:tx>
            <c:strRef>
              <c:f>Sheet5!$AB$3</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dPt>
          <c:dPt>
            <c:idx val="1"/>
            <c:invertIfNegative val="0"/>
            <c:bubble3D val="0"/>
            <c:spPr>
              <a:solidFill>
                <a:schemeClr val="accent5">
                  <a:lumMod val="75000"/>
                </a:schemeClr>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Sheet5!$AA$4:$AA$6</c:f>
              <c:strCache>
                <c:ptCount val="2"/>
                <c:pt idx="0">
                  <c:v>No</c:v>
                </c:pt>
                <c:pt idx="1">
                  <c:v>Yes</c:v>
                </c:pt>
              </c:strCache>
            </c:strRef>
          </c:cat>
          <c:val>
            <c:numRef>
              <c:f>Sheet5!$AB$4:$AB$6</c:f>
              <c:numCache>
                <c:formatCode>General</c:formatCode>
                <c:ptCount val="2"/>
                <c:pt idx="0">
                  <c:v>54</c:v>
                </c:pt>
                <c:pt idx="1">
                  <c:v>171</c:v>
                </c:pt>
              </c:numCache>
            </c:numRef>
          </c:val>
        </c:ser>
        <c:dLbls>
          <c:dLblPos val="outEnd"/>
          <c:showLegendKey val="0"/>
          <c:showVal val="1"/>
          <c:showCatName val="0"/>
          <c:showSerName val="0"/>
          <c:showPercent val="0"/>
          <c:showBubbleSize val="0"/>
        </c:dLbls>
        <c:gapWidth val="500"/>
        <c:overlap val="-27"/>
        <c:axId val="293536456"/>
        <c:axId val="293532928"/>
      </c:barChart>
      <c:catAx>
        <c:axId val="293536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293532928"/>
        <c:crosses val="autoZero"/>
        <c:auto val="1"/>
        <c:lblAlgn val="ctr"/>
        <c:lblOffset val="100"/>
        <c:noMultiLvlLbl val="0"/>
      </c:catAx>
      <c:valAx>
        <c:axId val="293532928"/>
        <c:scaling>
          <c:orientation val="minMax"/>
        </c:scaling>
        <c:delete val="1"/>
        <c:axPos val="l"/>
        <c:majorGridlines>
          <c:spPr>
            <a:ln w="9525" cap="flat" cmpd="sng" algn="ctr">
              <a:solidFill>
                <a:schemeClr val="tx1"/>
              </a:solidFill>
              <a:round/>
            </a:ln>
            <a:effectLst/>
          </c:spPr>
        </c:majorGridlines>
        <c:numFmt formatCode="General" sourceLinked="1"/>
        <c:majorTickMark val="none"/>
        <c:minorTickMark val="none"/>
        <c:tickLblPos val="nextTo"/>
        <c:crossAx val="293536456"/>
        <c:crosses val="autoZero"/>
        <c:crossBetween val="between"/>
      </c:valAx>
      <c:spPr>
        <a:noFill/>
        <a:ln>
          <a:noFill/>
        </a:ln>
        <a:effectLst/>
      </c:spPr>
    </c:plotArea>
    <c:plotVisOnly val="1"/>
    <c:dispBlanksAs val="gap"/>
    <c:showDLblsOverMax val="0"/>
  </c:chart>
  <c:spPr>
    <a:solidFill>
      <a:schemeClr val="bg2">
        <a:lumMod val="25000"/>
      </a:schemeClr>
    </a:solidFill>
    <a:ln w="9525" cap="flat" cmpd="sng" algn="ctr">
      <a:noFill/>
      <a:round/>
    </a:ln>
    <a:effectLst/>
  </c:spPr>
  <c:txPr>
    <a:bodyPr/>
    <a:lstStyle/>
    <a:p>
      <a:pPr>
        <a:defRPr>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6.jpeg"/><Relationship Id="rId3"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11" Type="http://schemas.microsoft.com/office/2007/relationships/hdphoto" Target="../media/hdphoto3.wdp"/><Relationship Id="rId5" Type="http://schemas.openxmlformats.org/officeDocument/2006/relationships/image" Target="../media/image1.png"/><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15</xdr:col>
      <xdr:colOff>981075</xdr:colOff>
      <xdr:row>10</xdr:row>
      <xdr:rowOff>176212</xdr:rowOff>
    </xdr:from>
    <xdr:to>
      <xdr:col>20</xdr:col>
      <xdr:colOff>628650</xdr:colOff>
      <xdr:row>26</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11</xdr:row>
      <xdr:rowOff>14287</xdr:rowOff>
    </xdr:from>
    <xdr:to>
      <xdr:col>9</xdr:col>
      <xdr:colOff>266700</xdr:colOff>
      <xdr:row>24</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485775</xdr:colOff>
      <xdr:row>5</xdr:row>
      <xdr:rowOff>109537</xdr:rowOff>
    </xdr:from>
    <xdr:to>
      <xdr:col>4</xdr:col>
      <xdr:colOff>76200</xdr:colOff>
      <xdr:row>15</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466725</xdr:colOff>
      <xdr:row>6</xdr:row>
      <xdr:rowOff>90487</xdr:rowOff>
    </xdr:from>
    <xdr:to>
      <xdr:col>23</xdr:col>
      <xdr:colOff>885825</xdr:colOff>
      <xdr:row>18</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10586</xdr:colOff>
      <xdr:row>9</xdr:row>
      <xdr:rowOff>21164</xdr:rowOff>
    </xdr:from>
    <xdr:to>
      <xdr:col>17</xdr:col>
      <xdr:colOff>656167</xdr:colOff>
      <xdr:row>20</xdr:row>
      <xdr:rowOff>158749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21167</xdr:colOff>
      <xdr:row>24</xdr:row>
      <xdr:rowOff>42333</xdr:rowOff>
    </xdr:from>
    <xdr:to>
      <xdr:col>17</xdr:col>
      <xdr:colOff>666750</xdr:colOff>
      <xdr:row>34</xdr:row>
      <xdr:rowOff>146581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24</xdr:row>
      <xdr:rowOff>21166</xdr:rowOff>
    </xdr:from>
    <xdr:to>
      <xdr:col>11</xdr:col>
      <xdr:colOff>677334</xdr:colOff>
      <xdr:row>34</xdr:row>
      <xdr:rowOff>127000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21167</xdr:colOff>
      <xdr:row>26</xdr:row>
      <xdr:rowOff>31749</xdr:rowOff>
    </xdr:from>
    <xdr:to>
      <xdr:col>7</xdr:col>
      <xdr:colOff>661459</xdr:colOff>
      <xdr:row>34</xdr:row>
      <xdr:rowOff>144461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41994</xdr:colOff>
      <xdr:row>26</xdr:row>
      <xdr:rowOff>42335</xdr:rowOff>
    </xdr:from>
    <xdr:to>
      <xdr:col>3</xdr:col>
      <xdr:colOff>528828</xdr:colOff>
      <xdr:row>30</xdr:row>
      <xdr:rowOff>105835</xdr:rowOff>
    </xdr:to>
    <xdr:pic>
      <xdr:nvPicPr>
        <xdr:cNvPr id="8" name="Picture 7"/>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Effect>
                    <a14:artisticPencilGrayscale/>
                  </a14:imgEffect>
                </a14:imgLayer>
              </a14:imgProps>
            </a:ext>
            <a:ext uri="{28A0092B-C50C-407E-A947-70E740481C1C}">
              <a14:useLocalDpi xmlns:a14="http://schemas.microsoft.com/office/drawing/2010/main" val="0"/>
            </a:ext>
          </a:extLst>
        </a:blip>
        <a:stretch>
          <a:fillRect/>
        </a:stretch>
      </xdr:blipFill>
      <xdr:spPr>
        <a:xfrm rot="473216">
          <a:off x="41994" y="4868335"/>
          <a:ext cx="2021417" cy="751417"/>
        </a:xfrm>
        <a:prstGeom prst="rect">
          <a:avLst/>
        </a:prstGeom>
      </xdr:spPr>
    </xdr:pic>
    <xdr:clientData/>
  </xdr:twoCellAnchor>
  <xdr:twoCellAnchor editAs="oneCell">
    <xdr:from>
      <xdr:col>0</xdr:col>
      <xdr:colOff>105834</xdr:colOff>
      <xdr:row>30</xdr:row>
      <xdr:rowOff>44613</xdr:rowOff>
    </xdr:from>
    <xdr:to>
      <xdr:col>3</xdr:col>
      <xdr:colOff>497418</xdr:colOff>
      <xdr:row>35</xdr:row>
      <xdr:rowOff>21330</xdr:rowOff>
    </xdr:to>
    <xdr:pic>
      <xdr:nvPicPr>
        <xdr:cNvPr id="9" name="Picture 8"/>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rot="11049462">
          <a:off x="105834" y="5558530"/>
          <a:ext cx="1926167" cy="876300"/>
        </a:xfrm>
        <a:prstGeom prst="rect">
          <a:avLst/>
        </a:prstGeom>
      </xdr:spPr>
    </xdr:pic>
    <xdr:clientData/>
  </xdr:twoCellAnchor>
  <xdr:twoCellAnchor>
    <xdr:from>
      <xdr:col>1</xdr:col>
      <xdr:colOff>31751</xdr:colOff>
      <xdr:row>24</xdr:row>
      <xdr:rowOff>127001</xdr:rowOff>
    </xdr:from>
    <xdr:to>
      <xdr:col>1</xdr:col>
      <xdr:colOff>666751</xdr:colOff>
      <xdr:row>26</xdr:row>
      <xdr:rowOff>84668</xdr:rowOff>
    </xdr:to>
    <xdr:sp macro="" textlink="">
      <xdr:nvSpPr>
        <xdr:cNvPr id="10" name="TextBox 9"/>
        <xdr:cNvSpPr txBox="1"/>
      </xdr:nvSpPr>
      <xdr:spPr>
        <a:xfrm>
          <a:off x="190501" y="4466168"/>
          <a:ext cx="635000" cy="317500"/>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2">
                  <a:lumMod val="75000"/>
                </a:schemeClr>
              </a:solidFill>
            </a:rPr>
            <a:t>Lagos</a:t>
          </a:r>
        </a:p>
      </xdr:txBody>
    </xdr:sp>
    <xdr:clientData/>
  </xdr:twoCellAnchor>
  <xdr:twoCellAnchor>
    <xdr:from>
      <xdr:col>1</xdr:col>
      <xdr:colOff>42335</xdr:colOff>
      <xdr:row>32</xdr:row>
      <xdr:rowOff>137584</xdr:rowOff>
    </xdr:from>
    <xdr:to>
      <xdr:col>1</xdr:col>
      <xdr:colOff>677335</xdr:colOff>
      <xdr:row>34</xdr:row>
      <xdr:rowOff>95251</xdr:rowOff>
    </xdr:to>
    <xdr:sp macro="" textlink="">
      <xdr:nvSpPr>
        <xdr:cNvPr id="11" name="TextBox 10"/>
        <xdr:cNvSpPr txBox="1"/>
      </xdr:nvSpPr>
      <xdr:spPr>
        <a:xfrm>
          <a:off x="201085" y="5884334"/>
          <a:ext cx="635000" cy="317500"/>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2">
                  <a:lumMod val="75000"/>
                </a:schemeClr>
              </a:solidFill>
            </a:rPr>
            <a:t>Rivers</a:t>
          </a:r>
        </a:p>
      </xdr:txBody>
    </xdr:sp>
    <xdr:clientData/>
  </xdr:twoCellAnchor>
  <xdr:twoCellAnchor editAs="oneCell">
    <xdr:from>
      <xdr:col>1</xdr:col>
      <xdr:colOff>6350</xdr:colOff>
      <xdr:row>10</xdr:row>
      <xdr:rowOff>222250</xdr:rowOff>
    </xdr:from>
    <xdr:to>
      <xdr:col>3</xdr:col>
      <xdr:colOff>656167</xdr:colOff>
      <xdr:row>20</xdr:row>
      <xdr:rowOff>116417</xdr:rowOff>
    </xdr:to>
    <mc:AlternateContent xmlns:mc="http://schemas.openxmlformats.org/markup-compatibility/2006" xmlns:a14="http://schemas.microsoft.com/office/drawing/2010/main">
      <mc:Choice Requires="a14">
        <xdr:graphicFrame macro="">
          <xdr:nvGraphicFramePr>
            <xdr:cNvPr id="12" name="Sales Person "/>
            <xdr:cNvGraphicFramePr/>
          </xdr:nvGraphicFramePr>
          <xdr:xfrm>
            <a:off x="0" y="0"/>
            <a:ext cx="0" cy="0"/>
          </xdr:xfrm>
          <a:graphic>
            <a:graphicData uri="http://schemas.microsoft.com/office/drawing/2010/slicer">
              <sle:slicer xmlns:sle="http://schemas.microsoft.com/office/drawing/2010/slicer" name="Sales Person "/>
            </a:graphicData>
          </a:graphic>
        </xdr:graphicFrame>
      </mc:Choice>
      <mc:Fallback xmlns="">
        <xdr:sp macro="" textlink="">
          <xdr:nvSpPr>
            <xdr:cNvPr id="0" name=""/>
            <xdr:cNvSpPr>
              <a:spLocks noTextEdit="1"/>
            </xdr:cNvSpPr>
          </xdr:nvSpPr>
          <xdr:spPr>
            <a:xfrm>
              <a:off x="165100" y="1693332"/>
              <a:ext cx="2025650" cy="2116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63499</xdr:colOff>
      <xdr:row>22</xdr:row>
      <xdr:rowOff>52916</xdr:rowOff>
    </xdr:from>
    <xdr:to>
      <xdr:col>7</xdr:col>
      <xdr:colOff>592666</xdr:colOff>
      <xdr:row>26</xdr:row>
      <xdr:rowOff>31750</xdr:rowOff>
    </xdr:to>
    <mc:AlternateContent xmlns:mc="http://schemas.openxmlformats.org/markup-compatibility/2006" xmlns:a14="http://schemas.microsoft.com/office/drawing/2010/main">
      <mc:Choice Requires="a14">
        <xdr:graphicFrame macro="">
          <xdr:nvGraphicFramePr>
            <xdr:cNvPr id="7" name="Inspection Icon"/>
            <xdr:cNvGraphicFramePr/>
          </xdr:nvGraphicFramePr>
          <xdr:xfrm>
            <a:off x="0" y="0"/>
            <a:ext cx="0" cy="0"/>
          </xdr:xfrm>
          <a:graphic>
            <a:graphicData uri="http://schemas.microsoft.com/office/drawing/2010/slicer">
              <sle:slicer xmlns:sle="http://schemas.microsoft.com/office/drawing/2010/slicer" name="Inspection Icon"/>
            </a:graphicData>
          </a:graphic>
        </xdr:graphicFrame>
      </mc:Choice>
      <mc:Fallback xmlns="">
        <xdr:sp macro="" textlink="">
          <xdr:nvSpPr>
            <xdr:cNvPr id="0" name=""/>
            <xdr:cNvSpPr>
              <a:spLocks noTextEdit="1"/>
            </xdr:cNvSpPr>
          </xdr:nvSpPr>
          <xdr:spPr>
            <a:xfrm>
              <a:off x="3820582" y="4159249"/>
              <a:ext cx="529167" cy="698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546101</xdr:colOff>
      <xdr:row>22</xdr:row>
      <xdr:rowOff>21167</xdr:rowOff>
    </xdr:from>
    <xdr:to>
      <xdr:col>17</xdr:col>
      <xdr:colOff>571500</xdr:colOff>
      <xdr:row>25</xdr:row>
      <xdr:rowOff>169334</xdr:rowOff>
    </xdr:to>
    <mc:AlternateContent xmlns:mc="http://schemas.openxmlformats.org/markup-compatibility/2006" xmlns:a14="http://schemas.microsoft.com/office/drawing/2010/main">
      <mc:Choice Requires="a14">
        <xdr:graphicFrame macro="">
          <xdr:nvGraphicFramePr>
            <xdr:cNvPr id="13" name="Product Icon"/>
            <xdr:cNvGraphicFramePr/>
          </xdr:nvGraphicFramePr>
          <xdr:xfrm>
            <a:off x="0" y="0"/>
            <a:ext cx="0" cy="0"/>
          </xdr:xfrm>
          <a:graphic>
            <a:graphicData uri="http://schemas.microsoft.com/office/drawing/2010/slicer">
              <sle:slicer xmlns:sle="http://schemas.microsoft.com/office/drawing/2010/slicer" name="Product Icon"/>
            </a:graphicData>
          </a:graphic>
        </xdr:graphicFrame>
      </mc:Choice>
      <mc:Fallback xmlns="">
        <xdr:sp macro="" textlink="">
          <xdr:nvSpPr>
            <xdr:cNvPr id="0" name=""/>
            <xdr:cNvSpPr>
              <a:spLocks noTextEdit="1"/>
            </xdr:cNvSpPr>
          </xdr:nvSpPr>
          <xdr:spPr>
            <a:xfrm>
              <a:off x="9436101" y="4127500"/>
              <a:ext cx="713316" cy="687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211667</xdr:colOff>
      <xdr:row>1</xdr:row>
      <xdr:rowOff>148166</xdr:rowOff>
    </xdr:from>
    <xdr:to>
      <xdr:col>2</xdr:col>
      <xdr:colOff>158750</xdr:colOff>
      <xdr:row>6</xdr:row>
      <xdr:rowOff>95250</xdr:rowOff>
    </xdr:to>
    <xdr:pic>
      <xdr:nvPicPr>
        <xdr:cNvPr id="15" name="Picture 14"/>
        <xdr:cNvPicPr>
          <a:picLocks noChangeAspect="1"/>
        </xdr:cNvPicPr>
      </xdr:nvPicPr>
      <xdr:blipFill>
        <a:blip xmlns:r="http://schemas.openxmlformats.org/officeDocument/2006/relationships" r:embed="rId9">
          <a:clrChange>
            <a:clrFrom>
              <a:srgbClr val="FFFFFF"/>
            </a:clrFrom>
            <a:clrTo>
              <a:srgbClr val="FFFFFF">
                <a:alpha val="0"/>
              </a:srgbClr>
            </a:clrTo>
          </a:clrChange>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370417" y="296333"/>
          <a:ext cx="635000" cy="899584"/>
        </a:xfrm>
        <a:prstGeom prst="rect">
          <a:avLst/>
        </a:prstGeom>
      </xdr:spPr>
    </xdr:pic>
    <xdr:clientData/>
  </xdr:twoCellAnchor>
  <xdr:twoCellAnchor>
    <xdr:from>
      <xdr:col>17</xdr:col>
      <xdr:colOff>158749</xdr:colOff>
      <xdr:row>3</xdr:row>
      <xdr:rowOff>42335</xdr:rowOff>
    </xdr:from>
    <xdr:to>
      <xdr:col>17</xdr:col>
      <xdr:colOff>349250</xdr:colOff>
      <xdr:row>4</xdr:row>
      <xdr:rowOff>21168</xdr:rowOff>
    </xdr:to>
    <xdr:sp macro="" textlink="">
      <xdr:nvSpPr>
        <xdr:cNvPr id="16" name="Smiley Face 15"/>
        <xdr:cNvSpPr/>
      </xdr:nvSpPr>
      <xdr:spPr>
        <a:xfrm>
          <a:off x="9736666" y="550335"/>
          <a:ext cx="190501" cy="211666"/>
        </a:xfrm>
        <a:prstGeom prst="smileyFace">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359835</xdr:colOff>
      <xdr:row>3</xdr:row>
      <xdr:rowOff>42335</xdr:rowOff>
    </xdr:from>
    <xdr:to>
      <xdr:col>16</xdr:col>
      <xdr:colOff>571501</xdr:colOff>
      <xdr:row>4</xdr:row>
      <xdr:rowOff>21167</xdr:rowOff>
    </xdr:to>
    <xdr:sp macro="" textlink="">
      <xdr:nvSpPr>
        <xdr:cNvPr id="18" name="Smiley Face 17"/>
        <xdr:cNvSpPr/>
      </xdr:nvSpPr>
      <xdr:spPr>
        <a:xfrm>
          <a:off x="9249835" y="550335"/>
          <a:ext cx="211666" cy="211665"/>
        </a:xfrm>
        <a:prstGeom prst="smileyFac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10</xdr:col>
      <xdr:colOff>391583</xdr:colOff>
      <xdr:row>8</xdr:row>
      <xdr:rowOff>63501</xdr:rowOff>
    </xdr:from>
    <xdr:to>
      <xdr:col>11</xdr:col>
      <xdr:colOff>402167</xdr:colOff>
      <xdr:row>10</xdr:row>
      <xdr:rowOff>128074</xdr:rowOff>
    </xdr:to>
    <xdr:pic>
      <xdr:nvPicPr>
        <xdr:cNvPr id="19" name="Picture 18"/>
        <xdr:cNvPicPr>
          <a:picLocks noChangeAspect="1"/>
        </xdr:cNvPicPr>
      </xdr:nvPicPr>
      <xdr:blipFill>
        <a:blip xmlns:r="http://schemas.openxmlformats.org/officeDocument/2006/relationships" r:embed="rId10">
          <a:clrChange>
            <a:clrFrom>
              <a:srgbClr val="FFFFFF"/>
            </a:clrFrom>
            <a:clrTo>
              <a:srgbClr val="FFFFFF">
                <a:alpha val="0"/>
              </a:srgbClr>
            </a:clrTo>
          </a:clrChange>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5683250" y="1492251"/>
          <a:ext cx="698500" cy="424406"/>
        </a:xfrm>
        <a:prstGeom prst="rect">
          <a:avLst/>
        </a:prstGeom>
      </xdr:spPr>
    </xdr:pic>
    <xdr:clientData/>
  </xdr:twoCellAnchor>
  <xdr:twoCellAnchor editAs="oneCell">
    <xdr:from>
      <xdr:col>10</xdr:col>
      <xdr:colOff>631198</xdr:colOff>
      <xdr:row>15</xdr:row>
      <xdr:rowOff>158751</xdr:rowOff>
    </xdr:from>
    <xdr:to>
      <xdr:col>11</xdr:col>
      <xdr:colOff>387781</xdr:colOff>
      <xdr:row>18</xdr:row>
      <xdr:rowOff>63500</xdr:rowOff>
    </xdr:to>
    <xdr:pic>
      <xdr:nvPicPr>
        <xdr:cNvPr id="20" name="Picture 19"/>
        <xdr:cNvPicPr>
          <a:picLocks noChangeAspect="1"/>
        </xdr:cNvPicPr>
      </xdr:nvPicPr>
      <xdr:blipFill>
        <a:blip xmlns:r="http://schemas.openxmlformats.org/officeDocument/2006/relationships" r:embed="rId1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922865" y="2889251"/>
          <a:ext cx="444499" cy="444499"/>
        </a:xfrm>
        <a:prstGeom prst="rect">
          <a:avLst/>
        </a:prstGeom>
      </xdr:spPr>
    </xdr:pic>
    <xdr:clientData/>
  </xdr:twoCellAnchor>
  <xdr:twoCellAnchor editAs="oneCell">
    <xdr:from>
      <xdr:col>6</xdr:col>
      <xdr:colOff>587088</xdr:colOff>
      <xdr:row>15</xdr:row>
      <xdr:rowOff>84666</xdr:rowOff>
    </xdr:from>
    <xdr:to>
      <xdr:col>7</xdr:col>
      <xdr:colOff>497417</xdr:colOff>
      <xdr:row>18</xdr:row>
      <xdr:rowOff>143161</xdr:rowOff>
    </xdr:to>
    <xdr:pic>
      <xdr:nvPicPr>
        <xdr:cNvPr id="21" name="Picture 20"/>
        <xdr:cNvPicPr>
          <a:picLocks noChangeAspect="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656255" y="2889249"/>
          <a:ext cx="598245" cy="598245"/>
        </a:xfrm>
        <a:prstGeom prst="rect">
          <a:avLst/>
        </a:prstGeom>
      </xdr:spPr>
    </xdr:pic>
    <xdr:clientData/>
  </xdr:twoCellAnchor>
  <xdr:twoCellAnchor editAs="oneCell">
    <xdr:from>
      <xdr:col>6</xdr:col>
      <xdr:colOff>634999</xdr:colOff>
      <xdr:row>8</xdr:row>
      <xdr:rowOff>42333</xdr:rowOff>
    </xdr:from>
    <xdr:to>
      <xdr:col>7</xdr:col>
      <xdr:colOff>486833</xdr:colOff>
      <xdr:row>10</xdr:row>
      <xdr:rowOff>222250</xdr:rowOff>
    </xdr:to>
    <xdr:pic>
      <xdr:nvPicPr>
        <xdr:cNvPr id="22" name="Picture 21"/>
        <xdr:cNvPicPr>
          <a:picLocks noChangeAspect="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704166" y="1471083"/>
          <a:ext cx="539750" cy="539750"/>
        </a:xfrm>
        <a:prstGeom prst="rect">
          <a:avLst/>
        </a:prstGeom>
      </xdr:spPr>
    </xdr:pic>
    <xdr:clientData/>
  </xdr:twoCellAnchor>
  <xdr:twoCellAnchor editAs="oneCell">
    <xdr:from>
      <xdr:col>2</xdr:col>
      <xdr:colOff>592668</xdr:colOff>
      <xdr:row>22</xdr:row>
      <xdr:rowOff>52916</xdr:rowOff>
    </xdr:from>
    <xdr:to>
      <xdr:col>3</xdr:col>
      <xdr:colOff>613834</xdr:colOff>
      <xdr:row>26</xdr:row>
      <xdr:rowOff>42333</xdr:rowOff>
    </xdr:to>
    <mc:AlternateContent xmlns:mc="http://schemas.openxmlformats.org/markup-compatibility/2006" xmlns:a14="http://schemas.microsoft.com/office/drawing/2010/main">
      <mc:Choice Requires="a14">
        <xdr:graphicFrame macro="">
          <xdr:nvGraphicFramePr>
            <xdr:cNvPr id="14" name="State       "/>
            <xdr:cNvGraphicFramePr/>
          </xdr:nvGraphicFramePr>
          <xdr:xfrm>
            <a:off x="0" y="0"/>
            <a:ext cx="0" cy="0"/>
          </xdr:xfrm>
          <a:graphic>
            <a:graphicData uri="http://schemas.microsoft.com/office/drawing/2010/slicer">
              <sle:slicer xmlns:sle="http://schemas.microsoft.com/office/drawing/2010/slicer" name="State       "/>
            </a:graphicData>
          </a:graphic>
        </xdr:graphicFrame>
      </mc:Choice>
      <mc:Fallback xmlns="">
        <xdr:sp macro="" textlink="">
          <xdr:nvSpPr>
            <xdr:cNvPr id="0" name=""/>
            <xdr:cNvSpPr>
              <a:spLocks noTextEdit="1"/>
            </xdr:cNvSpPr>
          </xdr:nvSpPr>
          <xdr:spPr>
            <a:xfrm>
              <a:off x="1439335" y="4159249"/>
              <a:ext cx="709082" cy="709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97366</xdr:colOff>
      <xdr:row>22</xdr:row>
      <xdr:rowOff>42333</xdr:rowOff>
    </xdr:from>
    <xdr:to>
      <xdr:col>11</xdr:col>
      <xdr:colOff>613833</xdr:colOff>
      <xdr:row>26</xdr:row>
      <xdr:rowOff>6666</xdr:rowOff>
    </xdr:to>
    <mc:AlternateContent xmlns:mc="http://schemas.openxmlformats.org/markup-compatibility/2006" xmlns:a14="http://schemas.microsoft.com/office/drawing/2010/main">
      <mc:Choice Requires="a14">
        <xdr:graphicFrame macro="">
          <xdr:nvGraphicFramePr>
            <xdr:cNvPr id="17" name="Gender Icons 1"/>
            <xdr:cNvGraphicFramePr>
              <a:graphicFrameLocks/>
            </xdr:cNvGraphicFramePr>
          </xdr:nvGraphicFramePr>
          <xdr:xfrm>
            <a:off x="0" y="0"/>
            <a:ext cx="0" cy="0"/>
          </xdr:xfrm>
          <a:graphic>
            <a:graphicData uri="http://schemas.microsoft.com/office/drawing/2010/slicer">
              <sle:slicer xmlns:sle="http://schemas.microsoft.com/office/drawing/2010/slicer" name="Gender Icons 1"/>
            </a:graphicData>
          </a:graphic>
        </xdr:graphicFrame>
      </mc:Choice>
      <mc:Fallback xmlns="">
        <xdr:sp macro="" textlink="">
          <xdr:nvSpPr>
            <xdr:cNvPr id="0" name=""/>
            <xdr:cNvSpPr>
              <a:spLocks noTextEdit="1"/>
            </xdr:cNvSpPr>
          </xdr:nvSpPr>
          <xdr:spPr>
            <a:xfrm>
              <a:off x="6076949" y="4148666"/>
              <a:ext cx="516467" cy="6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user" refreshedDate="46030.486973842591" backgroundQuery="1" createdVersion="5" refreshedVersion="5" minRefreshableVersion="3" recordCount="0" supportSubquery="1" supportAdvancedDrill="1">
  <cacheSource type="external" connectionId="1"/>
  <cacheFields count="1">
    <cacheField name="[Measures].[Average of Conversation Rate]" caption="Average of Conversation Rate" numFmtId="0" hierarchy="14" level="32767"/>
  </cacheFields>
  <cacheHierarchies count="18">
    <cacheHierarchy uniqueName="[Table2].[Client ID]" caption="Client ID" attribute="1" defaultMemberUniqueName="[Table2].[Client ID].[All]" allUniqueName="[Table2].[Client ID].[All]" dimensionUniqueName="[Table2]" displayFolder="" count="0" memberValueDatatype="130" unbalanced="0"/>
    <cacheHierarchy uniqueName="[Table2].[Conversation Rate]" caption="Conversation Rate" attribute="1" defaultMemberUniqueName="[Table2].[Conversation Rate].[All]" allUniqueName="[Table2].[Conversation Rate].[All]" dimensionUniqueName="[Table2]" displayFolder="" count="0" memberValueDatatype="20" unbalanced="0"/>
    <cacheHierarchy uniqueName="[Table2].[Client Gender]" caption="Client Gender" attribute="1" defaultMemberUniqueName="[Table2].[Client Gender].[All]" allUniqueName="[Table2].[Client Gender].[All]" dimensionUniqueName="[Table2]" displayFolder="" count="0" memberValueDatatype="130" unbalanced="0"/>
    <cacheHierarchy uniqueName="[Table2].[Sales Person]" caption="Sales Person" attribute="1" defaultMemberUniqueName="[Table2].[Sales Person].[All]" allUniqueName="[Table2].[Sales Person].[All]" dimensionUniqueName="[Table2]" displayFolder="" count="0" memberValueDatatype="130" unbalanced="0"/>
    <cacheHierarchy uniqueName="[Table2].[Date Given]" caption="Date Given" attribute="1" defaultMemberUniqueName="[Table2].[Date Given].[All]" allUniqueName="[Table2].[Date Given].[All]" dimensionUniqueName="[Table2]" displayFolder="" count="0" memberValueDatatype="20" unbalanced="0"/>
    <cacheHierarchy uniqueName="[Table2].[Sales]" caption="Sales" attribute="1" defaultMemberUniqueName="[Table2].[Sales].[All]" allUniqueName="[Table2].[Sales].[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Inspection]" caption="Inspection" attribute="1" defaultMemberUniqueName="[Table2].[Inspection].[All]" allUniqueName="[Table2].[Inspection].[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Gender Icons]" caption="Gender Icons" attribute="1" defaultMemberUniqueName="[Table2].[Gender Icons].[All]" allUniqueName="[Table2].[Gender Icons].[All]" dimensionUniqueName="[Table2]" displayFolder="" count="0" memberValueDatatype="130" unbalanced="0"/>
    <cacheHierarchy uniqueName="[Table2].[Product Icon]" caption="Product Icon" attribute="1" defaultMemberUniqueName="[Table2].[Product Icon].[All]" allUniqueName="[Table2].[Product Icon].[All]" dimensionUniqueName="[Table2]" displayFolder="" count="0" memberValueDatatype="130" unbalanced="0"/>
    <cacheHierarchy uniqueName="[Table2].[Inspection Icon]" caption="Inspection Icon" attribute="1" defaultMemberUniqueName="[Table2].[Inspection Icon].[All]" allUniqueName="[Table2].[Inspection Icon].[All]" dimensionUniqueName="[Table2]" displayFolder="" count="0" memberValueDatatype="130" unbalanced="0"/>
    <cacheHierarchy uniqueName="[Measures].[Sum of Conversation Rate]" caption="Sum of Conversation Rate" measure="1" displayFolder="" measureGroup="Table2" count="0"/>
    <cacheHierarchy uniqueName="[Measures].[Average of Conversation Rate]" caption="Average of Conversation Rate" measure="1" displayFolder="" measureGroup="Table2" count="0" oneField="1">
      <fieldsUsage count="1">
        <fieldUsage x="0"/>
      </fieldsUsage>
    </cacheHierarchy>
    <cacheHierarchy uniqueName="[Measures].[Count of Client ID]" caption="Count of Client ID" measure="1" displayFolder="" measureGroup="Table2" count="0">
      <extLst>
        <ext xmlns:x15="http://schemas.microsoft.com/office/spreadsheetml/2010/11/main" uri="{B97F6D7D-B522-45F9-BDA1-12C45D357490}">
          <x15:cacheHierarchy aggregatedColumn="0"/>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030.537379629626" createdVersion="5" refreshedVersion="5" minRefreshableVersion="3" recordCount="225">
  <cacheSource type="worksheet">
    <worksheetSource name="Table2"/>
  </cacheSource>
  <cacheFields count="13">
    <cacheField name="Client ID" numFmtId="0">
      <sharedItems/>
    </cacheField>
    <cacheField name="Clients" numFmtId="0">
      <sharedItems containsSemiMixedTypes="0" containsString="0" containsNumber="1" containsInteger="1" minValue="0" maxValue="1" count="2">
        <n v="1"/>
        <n v="0"/>
      </sharedItems>
    </cacheField>
    <cacheField name="Client Gender " numFmtId="0">
      <sharedItems count="2">
        <s v="Female"/>
        <s v="Male"/>
      </sharedItems>
    </cacheField>
    <cacheField name="Sales Person " numFmtId="0">
      <sharedItems count="6">
        <s v="Olumide"/>
        <s v="Ngozi"/>
        <s v="Ahmed"/>
        <s v="Funmi"/>
        <s v="Chukwudi"/>
        <s v="Chioma"/>
      </sharedItems>
    </cacheField>
    <cacheField name="Date Given " numFmtId="0">
      <sharedItems containsSemiMixedTypes="0" containsString="0" containsNumber="1" containsInteger="1" minValue="45139" maxValue="45169"/>
    </cacheField>
    <cacheField name="Sales" numFmtId="0">
      <sharedItems count="4">
        <s v="Paid"/>
        <s v="Too Expensive"/>
        <s v="Not Interested"/>
        <s v="Next Time"/>
      </sharedItems>
    </cacheField>
    <cacheField name="State       " numFmtId="0">
      <sharedItems count="2">
        <s v="Lagos"/>
        <s v="PH"/>
      </sharedItems>
    </cacheField>
    <cacheField name="Product" numFmtId="0">
      <sharedItems count="3">
        <s v="Residential"/>
        <s v="Commercial"/>
        <s v="Industrial"/>
      </sharedItems>
    </cacheField>
    <cacheField name="Inspection" numFmtId="0">
      <sharedItems count="2">
        <s v="Yes"/>
        <s v="No"/>
      </sharedItems>
    </cacheField>
    <cacheField name="Status" numFmtId="0">
      <sharedItems count="2">
        <s v="Paid"/>
        <s v="Pending"/>
      </sharedItems>
    </cacheField>
    <cacheField name="Gender Icons" numFmtId="0">
      <sharedItems count="2">
        <s v="👩"/>
        <s v="👨"/>
      </sharedItems>
    </cacheField>
    <cacheField name="Product Icon" numFmtId="0">
      <sharedItems count="3">
        <s v="🏠"/>
        <s v="🏢"/>
        <s v="🏭"/>
      </sharedItems>
    </cacheField>
    <cacheField name="Inspection Icon" numFmtId="0">
      <sharedItems count="2">
        <s v="✅"/>
        <s v="❌"/>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030.539663773146" backgroundQuery="1" createdVersion="5" refreshedVersion="5" minRefreshableVersion="3" recordCount="0" supportSubquery="1" supportAdvancedDrill="1">
  <cacheSource type="external" connectionId="1"/>
  <cacheFields count="3">
    <cacheField name="[Table2].[Sales Person].[Sales Person]" caption="Sales Person" numFmtId="0" hierarchy="3" level="1">
      <sharedItems count="6">
        <s v="Ahmed"/>
        <s v="Chioma"/>
        <s v="Chukwudi"/>
        <s v="Funmi"/>
        <s v="Ngozi"/>
        <s v="Olumide"/>
      </sharedItems>
    </cacheField>
    <cacheField name="[Measures].[Count of Client ID]" caption="Count of Client ID" numFmtId="0" hierarchy="13" level="32767"/>
    <cacheField name="[Measures].[Sum of Clients]" caption="Sum of Clients" numFmtId="0" hierarchy="14" level="32767"/>
  </cacheFields>
  <cacheHierarchies count="24">
    <cacheHierarchy uniqueName="[Table2].[Client ID]" caption="Client ID" attribute="1" defaultMemberUniqueName="[Table2].[Client ID].[All]" allUniqueName="[Table2].[Client ID].[All]" dimensionUniqueName="[Table2]" displayFolder="" count="0" memberValueDatatype="130" unbalanced="0"/>
    <cacheHierarchy uniqueName="[Table2].[Clients]" caption="Clients" attribute="1" defaultMemberUniqueName="[Table2].[Clients].[All]" allUniqueName="[Table2].[Clients].[All]" dimensionUniqueName="[Table2]" displayFolder="" count="0" memberValueDatatype="20" unbalanced="0"/>
    <cacheHierarchy uniqueName="[Table2].[Client Gender]" caption="Client Gender" attribute="1" defaultMemberUniqueName="[Table2].[Client Gender].[All]" allUniqueName="[Table2].[Client Gender].[All]" dimensionUniqueName="[Table2]" displayFolder="" count="0" memberValueDatatype="130" unbalanced="0"/>
    <cacheHierarchy uniqueName="[Table2].[Sales Person]" caption="Sales Person" attribute="1" defaultMemberUniqueName="[Table2].[Sales Person].[All]" allUniqueName="[Table2].[Sales Person].[All]" dimensionUniqueName="[Table2]" displayFolder="" count="2" memberValueDatatype="130" unbalanced="0">
      <fieldsUsage count="2">
        <fieldUsage x="-1"/>
        <fieldUsage x="0"/>
      </fieldsUsage>
    </cacheHierarchy>
    <cacheHierarchy uniqueName="[Table2].[Date Given]" caption="Date Given" attribute="1" defaultMemberUniqueName="[Table2].[Date Given].[All]" allUniqueName="[Table2].[Date Given].[All]" dimensionUniqueName="[Table2]" displayFolder="" count="0" memberValueDatatype="20" unbalanced="0"/>
    <cacheHierarchy uniqueName="[Table2].[Sales]" caption="Sales" attribute="1" defaultMemberUniqueName="[Table2].[Sales].[All]" allUniqueName="[Table2].[Sales].[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Inspection]" caption="Inspection" attribute="1" defaultMemberUniqueName="[Table2].[Inspection].[All]" allUniqueName="[Table2].[Inspection].[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Gender Icons]" caption="Gender Icons" attribute="1" defaultMemberUniqueName="[Table2].[Gender Icons].[All]" allUniqueName="[Table2].[Gender Icons].[All]" dimensionUniqueName="[Table2]" displayFolder="" count="0" memberValueDatatype="130" unbalanced="0"/>
    <cacheHierarchy uniqueName="[Table2].[Product Icon]" caption="Product Icon" attribute="1" defaultMemberUniqueName="[Table2].[Product Icon].[All]" allUniqueName="[Table2].[Product Icon].[All]" dimensionUniqueName="[Table2]" displayFolder="" count="0" memberValueDatatype="130" unbalanced="0"/>
    <cacheHierarchy uniqueName="[Table2].[Inspection Icon]" caption="Inspection Icon" attribute="1" defaultMemberUniqueName="[Table2].[Inspection Icon].[All]" allUniqueName="[Table2].[Inspection Icon].[All]" dimensionUniqueName="[Table2]" displayFolder="" count="0" memberValueDatatype="130" unbalanced="0"/>
    <cacheHierarchy uniqueName="[Measures].[Count of Client ID]" caption="Count of Client ID" measure="1" displayFolder="" measureGroup="Table2" count="0" oneField="1">
      <fieldsUsage count="1">
        <fieldUsage x="1"/>
      </fieldsUsage>
      <extLst>
        <ext xmlns:x15="http://schemas.microsoft.com/office/spreadsheetml/2010/11/main" uri="{B97F6D7D-B522-45F9-BDA1-12C45D357490}">
          <x15:cacheHierarchy aggregatedColumn="0"/>
        </ext>
      </extLst>
    </cacheHierarchy>
    <cacheHierarchy uniqueName="[Measures].[Sum of Clients]" caption="Sum of Clients" measure="1" displayFolder="" measureGroup="Table2" count="0" oneField="1">
      <fieldsUsage count="1">
        <fieldUsage x="2"/>
      </fieldsUsage>
      <extLst>
        <ext xmlns:x15="http://schemas.microsoft.com/office/spreadsheetml/2010/11/main" uri="{B97F6D7D-B522-45F9-BDA1-12C45D357490}">
          <x15:cacheHierarchy aggregatedColumn="1"/>
        </ext>
      </extLst>
    </cacheHierarchy>
    <cacheHierarchy uniqueName="[Measures].[Count of Inspection]" caption="Count of Inspection" measure="1" displayFolder="" measureGroup="Table2" count="0">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Table2" count="0">
      <extLst>
        <ext xmlns:x15="http://schemas.microsoft.com/office/spreadsheetml/2010/11/main" uri="{B97F6D7D-B522-45F9-BDA1-12C45D357490}">
          <x15:cacheHierarchy aggregatedColumn="7"/>
        </ext>
      </extLst>
    </cacheHierarchy>
    <cacheHierarchy uniqueName="[Measures].[Count of Status]" caption="Count of Status" measure="1" displayFolder="" measureGroup="Table2" count="0">
      <extLst>
        <ext xmlns:x15="http://schemas.microsoft.com/office/spreadsheetml/2010/11/main" uri="{B97F6D7D-B522-45F9-BDA1-12C45D357490}">
          <x15:cacheHierarchy aggregatedColumn="9"/>
        </ext>
      </extLst>
    </cacheHierarchy>
    <cacheHierarchy uniqueName="[Measures].[Count of Gender Icons]" caption="Count of Gender Icons" measure="1" displayFolder="" measureGroup="Table2" count="0">
      <extLst>
        <ext xmlns:x15="http://schemas.microsoft.com/office/spreadsheetml/2010/11/main" uri="{B97F6D7D-B522-45F9-BDA1-12C45D357490}">
          <x15:cacheHierarchy aggregatedColumn="10"/>
        </ext>
      </extLst>
    </cacheHierarchy>
    <cacheHierarchy uniqueName="[Measures].[Count of Product Icon]" caption="Count of Product Icon" measure="1" displayFolder="" measureGroup="Table2" count="0">
      <extLst>
        <ext xmlns:x15="http://schemas.microsoft.com/office/spreadsheetml/2010/11/main" uri="{B97F6D7D-B522-45F9-BDA1-12C45D357490}">
          <x15:cacheHierarchy aggregatedColumn="11"/>
        </ext>
      </extLst>
    </cacheHierarchy>
    <cacheHierarchy uniqueName="[Measures].[Count of Inspection Icon]" caption="Count of Inspection Icon" measure="1" displayFolder="" measureGroup="Table2" count="0">
      <extLst>
        <ext xmlns:x15="http://schemas.microsoft.com/office/spreadsheetml/2010/11/main" uri="{B97F6D7D-B522-45F9-BDA1-12C45D357490}">
          <x15:cacheHierarchy aggregatedColumn="12"/>
        </ext>
      </extLst>
    </cacheHierarchy>
    <cacheHierarchy uniqueName="[Measures].[Count of Client Gender]" caption="Count of Client Gender" measure="1" displayFolder="" measureGroup="Table2" count="0">
      <extLst>
        <ext xmlns:x15="http://schemas.microsoft.com/office/spreadsheetml/2010/11/main" uri="{B97F6D7D-B522-45F9-BDA1-12C45D357490}">
          <x15:cacheHierarchy aggregatedColumn="2"/>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030.538422453705" backgroundQuery="1" createdVersion="5" refreshedVersion="5" minRefreshableVersion="3" recordCount="0" supportSubquery="1" supportAdvancedDrill="1">
  <cacheSource type="external" connectionId="1"/>
  <cacheFields count="1">
    <cacheField name="[Measures].[Sum of Clients]" caption="Sum of Clients" numFmtId="0" hierarchy="14" level="32767"/>
  </cacheFields>
  <cacheHierarchies count="24">
    <cacheHierarchy uniqueName="[Table2].[Client ID]" caption="Client ID" attribute="1" defaultMemberUniqueName="[Table2].[Client ID].[All]" allUniqueName="[Table2].[Client ID].[All]" dimensionUniqueName="[Table2]" displayFolder="" count="0" memberValueDatatype="130" unbalanced="0"/>
    <cacheHierarchy uniqueName="[Table2].[Clients]" caption="Clients" attribute="1" defaultMemberUniqueName="[Table2].[Clients].[All]" allUniqueName="[Table2].[Clients].[All]" dimensionUniqueName="[Table2]" displayFolder="" count="0" memberValueDatatype="20" unbalanced="0"/>
    <cacheHierarchy uniqueName="[Table2].[Client Gender]" caption="Client Gender" attribute="1" defaultMemberUniqueName="[Table2].[Client Gender].[All]" allUniqueName="[Table2].[Client Gender].[All]" dimensionUniqueName="[Table2]" displayFolder="" count="0" memberValueDatatype="130" unbalanced="0"/>
    <cacheHierarchy uniqueName="[Table2].[Sales Person]" caption="Sales Person" attribute="1" defaultMemberUniqueName="[Table2].[Sales Person].[All]" allUniqueName="[Table2].[Sales Person].[All]" dimensionUniqueName="[Table2]" displayFolder="" count="0" memberValueDatatype="130" unbalanced="0"/>
    <cacheHierarchy uniqueName="[Table2].[Date Given]" caption="Date Given" attribute="1" defaultMemberUniqueName="[Table2].[Date Given].[All]" allUniqueName="[Table2].[Date Given].[All]" dimensionUniqueName="[Table2]" displayFolder="" count="0" memberValueDatatype="20" unbalanced="0"/>
    <cacheHierarchy uniqueName="[Table2].[Sales]" caption="Sales" attribute="1" defaultMemberUniqueName="[Table2].[Sales].[All]" allUniqueName="[Table2].[Sales].[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Inspection]" caption="Inspection" attribute="1" defaultMemberUniqueName="[Table2].[Inspection].[All]" allUniqueName="[Table2].[Inspection].[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Gender Icons]" caption="Gender Icons" attribute="1" defaultMemberUniqueName="[Table2].[Gender Icons].[All]" allUniqueName="[Table2].[Gender Icons].[All]" dimensionUniqueName="[Table2]" displayFolder="" count="0" memberValueDatatype="130" unbalanced="0"/>
    <cacheHierarchy uniqueName="[Table2].[Product Icon]" caption="Product Icon" attribute="1" defaultMemberUniqueName="[Table2].[Product Icon].[All]" allUniqueName="[Table2].[Product Icon].[All]" dimensionUniqueName="[Table2]" displayFolder="" count="0" memberValueDatatype="130" unbalanced="0"/>
    <cacheHierarchy uniqueName="[Table2].[Inspection Icon]" caption="Inspection Icon" attribute="1" defaultMemberUniqueName="[Table2].[Inspection Icon].[All]" allUniqueName="[Table2].[Inspection Icon].[All]" dimensionUniqueName="[Table2]" displayFolder="" count="0" memberValueDatatype="130" unbalanced="0"/>
    <cacheHierarchy uniqueName="[Measures].[Count of Client ID]" caption="Count of Client ID" measure="1" displayFolder="" measureGroup="Table2" count="0">
      <extLst>
        <ext xmlns:x15="http://schemas.microsoft.com/office/spreadsheetml/2010/11/main" uri="{B97F6D7D-B522-45F9-BDA1-12C45D357490}">
          <x15:cacheHierarchy aggregatedColumn="0"/>
        </ext>
      </extLst>
    </cacheHierarchy>
    <cacheHierarchy uniqueName="[Measures].[Sum of Clients]" caption="Sum of Clients" measure="1" displayFolder="" measureGroup="Table2" count="0" oneField="1">
      <fieldsUsage count="1">
        <fieldUsage x="0"/>
      </fieldsUsage>
      <extLst>
        <ext xmlns:x15="http://schemas.microsoft.com/office/spreadsheetml/2010/11/main" uri="{B97F6D7D-B522-45F9-BDA1-12C45D357490}">
          <x15:cacheHierarchy aggregatedColumn="1"/>
        </ext>
      </extLst>
    </cacheHierarchy>
    <cacheHierarchy uniqueName="[Measures].[Count of Inspection]" caption="Count of Inspection" measure="1" displayFolder="" measureGroup="Table2" count="0">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Table2" count="0">
      <extLst>
        <ext xmlns:x15="http://schemas.microsoft.com/office/spreadsheetml/2010/11/main" uri="{B97F6D7D-B522-45F9-BDA1-12C45D357490}">
          <x15:cacheHierarchy aggregatedColumn="7"/>
        </ext>
      </extLst>
    </cacheHierarchy>
    <cacheHierarchy uniqueName="[Measures].[Count of Status]" caption="Count of Status" measure="1" displayFolder="" measureGroup="Table2" count="0">
      <extLst>
        <ext xmlns:x15="http://schemas.microsoft.com/office/spreadsheetml/2010/11/main" uri="{B97F6D7D-B522-45F9-BDA1-12C45D357490}">
          <x15:cacheHierarchy aggregatedColumn="9"/>
        </ext>
      </extLst>
    </cacheHierarchy>
    <cacheHierarchy uniqueName="[Measures].[Count of Gender Icons]" caption="Count of Gender Icons" measure="1" displayFolder="" measureGroup="Table2" count="0">
      <extLst>
        <ext xmlns:x15="http://schemas.microsoft.com/office/spreadsheetml/2010/11/main" uri="{B97F6D7D-B522-45F9-BDA1-12C45D357490}">
          <x15:cacheHierarchy aggregatedColumn="10"/>
        </ext>
      </extLst>
    </cacheHierarchy>
    <cacheHierarchy uniqueName="[Measures].[Count of Product Icon]" caption="Count of Product Icon" measure="1" displayFolder="" measureGroup="Table2" count="0">
      <extLst>
        <ext xmlns:x15="http://schemas.microsoft.com/office/spreadsheetml/2010/11/main" uri="{B97F6D7D-B522-45F9-BDA1-12C45D357490}">
          <x15:cacheHierarchy aggregatedColumn="11"/>
        </ext>
      </extLst>
    </cacheHierarchy>
    <cacheHierarchy uniqueName="[Measures].[Count of Inspection Icon]" caption="Count of Inspection Icon" measure="1" displayFolder="" measureGroup="Table2" count="0">
      <extLst>
        <ext xmlns:x15="http://schemas.microsoft.com/office/spreadsheetml/2010/11/main" uri="{B97F6D7D-B522-45F9-BDA1-12C45D357490}">
          <x15:cacheHierarchy aggregatedColumn="12"/>
        </ext>
      </extLst>
    </cacheHierarchy>
    <cacheHierarchy uniqueName="[Measures].[Count of Client Gender]" caption="Count of Client Gender" measure="1" displayFolder="" measureGroup="Table2" count="0">
      <extLst>
        <ext xmlns:x15="http://schemas.microsoft.com/office/spreadsheetml/2010/11/main" uri="{B97F6D7D-B522-45F9-BDA1-12C45D357490}">
          <x15:cacheHierarchy aggregatedColumn="2"/>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031.584928587959" backgroundQuery="1" createdVersion="5" refreshedVersion="5" minRefreshableVersion="3" recordCount="0" supportSubquery="1" supportAdvancedDrill="1">
  <cacheSource type="external" connectionId="1"/>
  <cacheFields count="3">
    <cacheField name="[Table2].[Inspection].[Inspection]" caption="Inspection" numFmtId="0" hierarchy="8" level="1">
      <sharedItems count="2">
        <s v="No"/>
        <s v="Yes"/>
      </sharedItems>
    </cacheField>
    <cacheField name="[Measures].[Count of Product]" caption="Count of Product" numFmtId="0" hierarchy="16" level="32767"/>
    <cacheField name="[Table2].[Inspection Icon].[Inspection Icon]" caption="Inspection Icon" numFmtId="0" hierarchy="12" level="1">
      <sharedItems containsSemiMixedTypes="0" containsNonDate="0" containsString="0"/>
    </cacheField>
  </cacheFields>
  <cacheHierarchies count="24">
    <cacheHierarchy uniqueName="[Table2].[Client ID]" caption="Client ID" attribute="1" defaultMemberUniqueName="[Table2].[Client ID].[All]" allUniqueName="[Table2].[Client ID].[All]" dimensionUniqueName="[Table2]" displayFolder="" count="2" memberValueDatatype="130" unbalanced="0"/>
    <cacheHierarchy uniqueName="[Table2].[Clients]" caption="Clients" attribute="1" defaultMemberUniqueName="[Table2].[Clients].[All]" allUniqueName="[Table2].[Clients].[All]" dimensionUniqueName="[Table2]" displayFolder="" count="2" memberValueDatatype="20" unbalanced="0"/>
    <cacheHierarchy uniqueName="[Table2].[Client Gender]" caption="Client Gender" attribute="1" defaultMemberUniqueName="[Table2].[Client Gender].[All]" allUniqueName="[Table2].[Client Gender].[All]" dimensionUniqueName="[Table2]" displayFolder="" count="2" memberValueDatatype="130" unbalanced="0"/>
    <cacheHierarchy uniqueName="[Table2].[Sales Person]" caption="Sales Person" attribute="1" defaultMemberUniqueName="[Table2].[Sales Person].[All]" allUniqueName="[Table2].[Sales Person].[All]" dimensionUniqueName="[Table2]" displayFolder="" count="2" memberValueDatatype="130" unbalanced="0"/>
    <cacheHierarchy uniqueName="[Table2].[Date Given]" caption="Date Given" attribute="1" defaultMemberUniqueName="[Table2].[Date Given].[All]" allUniqueName="[Table2].[Date Given].[All]" dimensionUniqueName="[Table2]" displayFolder="" count="2" memberValueDatatype="20" unbalanced="0"/>
    <cacheHierarchy uniqueName="[Table2].[Sales]" caption="Sales" attribute="1" defaultMemberUniqueName="[Table2].[Sales].[All]" allUniqueName="[Table2].[Sales].[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Product]" caption="Product" attribute="1" defaultMemberUniqueName="[Table2].[Product].[All]" allUniqueName="[Table2].[Product].[All]" dimensionUniqueName="[Table2]" displayFolder="" count="2" memberValueDatatype="130" unbalanced="0"/>
    <cacheHierarchy uniqueName="[Table2].[Inspection]" caption="Inspection" attribute="1" defaultMemberUniqueName="[Table2].[Inspection].[All]" allUniqueName="[Table2].[Inspection].[All]" dimensionUniqueName="[Table2]" displayFolder="" count="2" memberValueDatatype="130" unbalanced="0">
      <fieldsUsage count="2">
        <fieldUsage x="-1"/>
        <fieldUsage x="0"/>
      </fieldsUsage>
    </cacheHierarchy>
    <cacheHierarchy uniqueName="[Table2].[Status]" caption="Status" attribute="1" defaultMemberUniqueName="[Table2].[Status].[All]" allUniqueName="[Table2].[Status].[All]" dimensionUniqueName="[Table2]" displayFolder="" count="2" memberValueDatatype="130" unbalanced="0"/>
    <cacheHierarchy uniqueName="[Table2].[Gender Icons]" caption="Gender Icons" attribute="1" defaultMemberUniqueName="[Table2].[Gender Icons].[All]" allUniqueName="[Table2].[Gender Icons].[All]" dimensionUniqueName="[Table2]" displayFolder="" count="2" memberValueDatatype="130" unbalanced="0"/>
    <cacheHierarchy uniqueName="[Table2].[Product Icon]" caption="Product Icon" attribute="1" defaultMemberUniqueName="[Table2].[Product Icon].[All]" allUniqueName="[Table2].[Product Icon].[All]" dimensionUniqueName="[Table2]" displayFolder="" count="2" memberValueDatatype="130" unbalanced="0"/>
    <cacheHierarchy uniqueName="[Table2].[Inspection Icon]" caption="Inspection Icon" attribute="1" defaultMemberUniqueName="[Table2].[Inspection Icon].[All]" allUniqueName="[Table2].[Inspection Icon].[All]" dimensionUniqueName="[Table2]" displayFolder="" count="2" memberValueDatatype="130" unbalanced="0">
      <fieldsUsage count="2">
        <fieldUsage x="-1"/>
        <fieldUsage x="2"/>
      </fieldsUsage>
    </cacheHierarchy>
    <cacheHierarchy uniqueName="[Measures].[Count of Client ID]" caption="Count of Client ID" measure="1" displayFolder="" measureGroup="Table2" count="0">
      <extLst>
        <ext xmlns:x15="http://schemas.microsoft.com/office/spreadsheetml/2010/11/main" uri="{B97F6D7D-B522-45F9-BDA1-12C45D357490}">
          <x15:cacheHierarchy aggregatedColumn="0"/>
        </ext>
      </extLst>
    </cacheHierarchy>
    <cacheHierarchy uniqueName="[Measures].[Sum of Clients]" caption="Sum of Clients" measure="1" displayFolder="" measureGroup="Table2" count="0">
      <extLst>
        <ext xmlns:x15="http://schemas.microsoft.com/office/spreadsheetml/2010/11/main" uri="{B97F6D7D-B522-45F9-BDA1-12C45D357490}">
          <x15:cacheHierarchy aggregatedColumn="1"/>
        </ext>
      </extLst>
    </cacheHierarchy>
    <cacheHierarchy uniqueName="[Measures].[Count of Inspection]" caption="Count of Inspection" measure="1" displayFolder="" measureGroup="Table2" count="0">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Table2" count="0" oneField="1">
      <fieldsUsage count="1">
        <fieldUsage x="1"/>
      </fieldsUsage>
      <extLst>
        <ext xmlns:x15="http://schemas.microsoft.com/office/spreadsheetml/2010/11/main" uri="{B97F6D7D-B522-45F9-BDA1-12C45D357490}">
          <x15:cacheHierarchy aggregatedColumn="7"/>
        </ext>
      </extLst>
    </cacheHierarchy>
    <cacheHierarchy uniqueName="[Measures].[Count of Status]" caption="Count of Status" measure="1" displayFolder="" measureGroup="Table2" count="0">
      <extLst>
        <ext xmlns:x15="http://schemas.microsoft.com/office/spreadsheetml/2010/11/main" uri="{B97F6D7D-B522-45F9-BDA1-12C45D357490}">
          <x15:cacheHierarchy aggregatedColumn="9"/>
        </ext>
      </extLst>
    </cacheHierarchy>
    <cacheHierarchy uniqueName="[Measures].[Count of Gender Icons]" caption="Count of Gender Icons" measure="1" displayFolder="" measureGroup="Table2" count="0">
      <extLst>
        <ext xmlns:x15="http://schemas.microsoft.com/office/spreadsheetml/2010/11/main" uri="{B97F6D7D-B522-45F9-BDA1-12C45D357490}">
          <x15:cacheHierarchy aggregatedColumn="10"/>
        </ext>
      </extLst>
    </cacheHierarchy>
    <cacheHierarchy uniqueName="[Measures].[Count of Product Icon]" caption="Count of Product Icon" measure="1" displayFolder="" measureGroup="Table2" count="0">
      <extLst>
        <ext xmlns:x15="http://schemas.microsoft.com/office/spreadsheetml/2010/11/main" uri="{B97F6D7D-B522-45F9-BDA1-12C45D357490}">
          <x15:cacheHierarchy aggregatedColumn="11"/>
        </ext>
      </extLst>
    </cacheHierarchy>
    <cacheHierarchy uniqueName="[Measures].[Count of Inspection Icon]" caption="Count of Inspection Icon" measure="1" displayFolder="" measureGroup="Table2" count="0">
      <extLst>
        <ext xmlns:x15="http://schemas.microsoft.com/office/spreadsheetml/2010/11/main" uri="{B97F6D7D-B522-45F9-BDA1-12C45D357490}">
          <x15:cacheHierarchy aggregatedColumn="12"/>
        </ext>
      </extLst>
    </cacheHierarchy>
    <cacheHierarchy uniqueName="[Measures].[Count of Client Gender]" caption="Count of Client Gender" measure="1" displayFolder="" measureGroup="Table2" count="0">
      <extLst>
        <ext xmlns:x15="http://schemas.microsoft.com/office/spreadsheetml/2010/11/main" uri="{B97F6D7D-B522-45F9-BDA1-12C45D357490}">
          <x15:cacheHierarchy aggregatedColumn="2"/>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030.66923796296"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2].[Client ID]" caption="Client ID" attribute="1" defaultMemberUniqueName="[Table2].[Client ID].[All]" allUniqueName="[Table2].[Client ID].[All]" dimensionUniqueName="[Table2]" displayFolder="" count="0" memberValueDatatype="130" unbalanced="0"/>
    <cacheHierarchy uniqueName="[Table2].[Clients]" caption="Clients" attribute="1" defaultMemberUniqueName="[Table2].[Clients].[All]" allUniqueName="[Table2].[Clients].[All]" dimensionUniqueName="[Table2]" displayFolder="" count="0" memberValueDatatype="20" unbalanced="0"/>
    <cacheHierarchy uniqueName="[Table2].[Client Gender]" caption="Client Gender" attribute="1" defaultMemberUniqueName="[Table2].[Client Gender].[All]" allUniqueName="[Table2].[Client Gender].[All]" dimensionUniqueName="[Table2]" displayFolder="" count="0" memberValueDatatype="130" unbalanced="0"/>
    <cacheHierarchy uniqueName="[Table2].[Sales Person]" caption="Sales Person" attribute="1" defaultMemberUniqueName="[Table2].[Sales Person].[All]" allUniqueName="[Table2].[Sales Person].[All]" dimensionUniqueName="[Table2]" displayFolder="" count="0" memberValueDatatype="130" unbalanced="0"/>
    <cacheHierarchy uniqueName="[Table2].[Date Given]" caption="Date Given" attribute="1" defaultMemberUniqueName="[Table2].[Date Given].[All]" allUniqueName="[Table2].[Date Given].[All]" dimensionUniqueName="[Table2]" displayFolder="" count="0" memberValueDatatype="20" unbalanced="0"/>
    <cacheHierarchy uniqueName="[Table2].[Sales]" caption="Sales" attribute="1" defaultMemberUniqueName="[Table2].[Sales].[All]" allUniqueName="[Table2].[Sales].[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Inspection]" caption="Inspection" attribute="1" defaultMemberUniqueName="[Table2].[Inspection].[All]" allUniqueName="[Table2].[Inspection].[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Gender Icons]" caption="Gender Icons" attribute="1" defaultMemberUniqueName="[Table2].[Gender Icons].[All]" allUniqueName="[Table2].[Gender Icons].[All]" dimensionUniqueName="[Table2]" displayFolder="" count="0" memberValueDatatype="130" unbalanced="0"/>
    <cacheHierarchy uniqueName="[Table2].[Product Icon]" caption="Product Icon" attribute="1" defaultMemberUniqueName="[Table2].[Product Icon].[All]" allUniqueName="[Table2].[Product Icon].[All]" dimensionUniqueName="[Table2]" displayFolder="" count="0" memberValueDatatype="130" unbalanced="0"/>
    <cacheHierarchy uniqueName="[Table2].[Inspection Icon]" caption="Inspection Icon" attribute="1" defaultMemberUniqueName="[Table2].[Inspection Icon].[All]" allUniqueName="[Table2].[Inspection Icon].[All]" dimensionUniqueName="[Table2]" displayFolder="" count="2" memberValueDatatype="130" unbalanced="0"/>
    <cacheHierarchy uniqueName="[Measures].[Count of Client ID]" caption="Count of Client ID" measure="1" displayFolder="" measureGroup="Table2" count="0">
      <extLst>
        <ext xmlns:x15="http://schemas.microsoft.com/office/spreadsheetml/2010/11/main" uri="{B97F6D7D-B522-45F9-BDA1-12C45D357490}">
          <x15:cacheHierarchy aggregatedColumn="0"/>
        </ext>
      </extLst>
    </cacheHierarchy>
    <cacheHierarchy uniqueName="[Measures].[Sum of Clients]" caption="Sum of Clients" measure="1" displayFolder="" measureGroup="Table2" count="0">
      <extLst>
        <ext xmlns:x15="http://schemas.microsoft.com/office/spreadsheetml/2010/11/main" uri="{B97F6D7D-B522-45F9-BDA1-12C45D357490}">
          <x15:cacheHierarchy aggregatedColumn="1"/>
        </ext>
      </extLst>
    </cacheHierarchy>
    <cacheHierarchy uniqueName="[Measures].[Count of Inspection]" caption="Count of Inspection" measure="1" displayFolder="" measureGroup="Table2" count="0">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Table2" count="0">
      <extLst>
        <ext xmlns:x15="http://schemas.microsoft.com/office/spreadsheetml/2010/11/main" uri="{B97F6D7D-B522-45F9-BDA1-12C45D357490}">
          <x15:cacheHierarchy aggregatedColumn="7"/>
        </ext>
      </extLst>
    </cacheHierarchy>
    <cacheHierarchy uniqueName="[Measures].[Count of Status]" caption="Count of Status" measure="1" displayFolder="" measureGroup="Table2" count="0">
      <extLst>
        <ext xmlns:x15="http://schemas.microsoft.com/office/spreadsheetml/2010/11/main" uri="{B97F6D7D-B522-45F9-BDA1-12C45D357490}">
          <x15:cacheHierarchy aggregatedColumn="9"/>
        </ext>
      </extLst>
    </cacheHierarchy>
    <cacheHierarchy uniqueName="[Measures].[Count of Gender Icons]" caption="Count of Gender Icons" measure="1" displayFolder="" measureGroup="Table2" count="0">
      <extLst>
        <ext xmlns:x15="http://schemas.microsoft.com/office/spreadsheetml/2010/11/main" uri="{B97F6D7D-B522-45F9-BDA1-12C45D357490}">
          <x15:cacheHierarchy aggregatedColumn="10"/>
        </ext>
      </extLst>
    </cacheHierarchy>
    <cacheHierarchy uniqueName="[Measures].[Count of Product Icon]" caption="Count of Product Icon" measure="1" displayFolder="" measureGroup="Table2" count="0">
      <extLst>
        <ext xmlns:x15="http://schemas.microsoft.com/office/spreadsheetml/2010/11/main" uri="{B97F6D7D-B522-45F9-BDA1-12C45D357490}">
          <x15:cacheHierarchy aggregatedColumn="11"/>
        </ext>
      </extLst>
    </cacheHierarchy>
    <cacheHierarchy uniqueName="[Measures].[Count of Inspection Icon]" caption="Count of Inspection Icon" measure="1" displayFolder="" measureGroup="Table2" count="0">
      <extLst>
        <ext xmlns:x15="http://schemas.microsoft.com/office/spreadsheetml/2010/11/main" uri="{B97F6D7D-B522-45F9-BDA1-12C45D357490}">
          <x15:cacheHierarchy aggregatedColumn="12"/>
        </ext>
      </extLst>
    </cacheHierarchy>
    <cacheHierarchy uniqueName="[Measures].[Count of Client Gender]" caption="Count of Client Gender" measure="1" displayFolder="" measureGroup="Table2" count="0">
      <extLst>
        <ext xmlns:x15="http://schemas.microsoft.com/office/spreadsheetml/2010/11/main" uri="{B97F6D7D-B522-45F9-BDA1-12C45D357490}">
          <x15:cacheHierarchy aggregatedColumn="2"/>
        </ext>
      </extLst>
    </cacheHierarchy>
    <cacheHierarchy uniqueName="[Measures].[__XL_Count Table2]" caption="__XL_Count Table2" measure="1" displayFolder="" measureGroup="Table2"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25">
  <r>
    <s v="1"/>
    <x v="0"/>
    <x v="0"/>
    <x v="0"/>
    <n v="45139"/>
    <x v="0"/>
    <x v="0"/>
    <x v="0"/>
    <x v="0"/>
    <x v="0"/>
    <x v="0"/>
    <x v="0"/>
    <x v="0"/>
  </r>
  <r>
    <s v="2"/>
    <x v="1"/>
    <x v="1"/>
    <x v="1"/>
    <n v="45140"/>
    <x v="1"/>
    <x v="0"/>
    <x v="1"/>
    <x v="1"/>
    <x v="1"/>
    <x v="1"/>
    <x v="1"/>
    <x v="1"/>
  </r>
  <r>
    <s v="3"/>
    <x v="1"/>
    <x v="0"/>
    <x v="2"/>
    <n v="45141"/>
    <x v="2"/>
    <x v="1"/>
    <x v="1"/>
    <x v="0"/>
    <x v="1"/>
    <x v="0"/>
    <x v="1"/>
    <x v="0"/>
  </r>
  <r>
    <s v="4"/>
    <x v="1"/>
    <x v="0"/>
    <x v="3"/>
    <n v="45142"/>
    <x v="3"/>
    <x v="1"/>
    <x v="0"/>
    <x v="0"/>
    <x v="1"/>
    <x v="0"/>
    <x v="0"/>
    <x v="0"/>
  </r>
  <r>
    <s v="5"/>
    <x v="0"/>
    <x v="1"/>
    <x v="4"/>
    <n v="45143"/>
    <x v="0"/>
    <x v="0"/>
    <x v="0"/>
    <x v="0"/>
    <x v="0"/>
    <x v="1"/>
    <x v="0"/>
    <x v="0"/>
  </r>
  <r>
    <s v="6"/>
    <x v="1"/>
    <x v="0"/>
    <x v="5"/>
    <n v="45144"/>
    <x v="2"/>
    <x v="0"/>
    <x v="1"/>
    <x v="1"/>
    <x v="1"/>
    <x v="0"/>
    <x v="1"/>
    <x v="1"/>
  </r>
  <r>
    <s v="7"/>
    <x v="1"/>
    <x v="0"/>
    <x v="0"/>
    <n v="45145"/>
    <x v="3"/>
    <x v="1"/>
    <x v="1"/>
    <x v="0"/>
    <x v="1"/>
    <x v="0"/>
    <x v="1"/>
    <x v="0"/>
  </r>
  <r>
    <s v="8"/>
    <x v="0"/>
    <x v="1"/>
    <x v="1"/>
    <n v="45146"/>
    <x v="0"/>
    <x v="0"/>
    <x v="0"/>
    <x v="0"/>
    <x v="0"/>
    <x v="1"/>
    <x v="0"/>
    <x v="0"/>
  </r>
  <r>
    <s v="9"/>
    <x v="1"/>
    <x v="0"/>
    <x v="2"/>
    <n v="45147"/>
    <x v="1"/>
    <x v="0"/>
    <x v="2"/>
    <x v="1"/>
    <x v="1"/>
    <x v="0"/>
    <x v="2"/>
    <x v="1"/>
  </r>
  <r>
    <s v="10"/>
    <x v="0"/>
    <x v="1"/>
    <x v="3"/>
    <n v="45148"/>
    <x v="0"/>
    <x v="1"/>
    <x v="1"/>
    <x v="0"/>
    <x v="0"/>
    <x v="1"/>
    <x v="1"/>
    <x v="0"/>
  </r>
  <r>
    <s v="11"/>
    <x v="1"/>
    <x v="0"/>
    <x v="4"/>
    <n v="45149"/>
    <x v="2"/>
    <x v="0"/>
    <x v="1"/>
    <x v="0"/>
    <x v="1"/>
    <x v="0"/>
    <x v="1"/>
    <x v="0"/>
  </r>
  <r>
    <s v="12"/>
    <x v="0"/>
    <x v="1"/>
    <x v="5"/>
    <n v="45150"/>
    <x v="0"/>
    <x v="0"/>
    <x v="0"/>
    <x v="0"/>
    <x v="0"/>
    <x v="1"/>
    <x v="0"/>
    <x v="0"/>
  </r>
  <r>
    <s v="13"/>
    <x v="1"/>
    <x v="0"/>
    <x v="0"/>
    <n v="45151"/>
    <x v="3"/>
    <x v="1"/>
    <x v="1"/>
    <x v="0"/>
    <x v="1"/>
    <x v="0"/>
    <x v="1"/>
    <x v="0"/>
  </r>
  <r>
    <s v="14"/>
    <x v="0"/>
    <x v="1"/>
    <x v="3"/>
    <n v="45152"/>
    <x v="0"/>
    <x v="0"/>
    <x v="0"/>
    <x v="0"/>
    <x v="0"/>
    <x v="1"/>
    <x v="0"/>
    <x v="0"/>
  </r>
  <r>
    <s v="15"/>
    <x v="1"/>
    <x v="0"/>
    <x v="4"/>
    <n v="45153"/>
    <x v="2"/>
    <x v="1"/>
    <x v="0"/>
    <x v="1"/>
    <x v="1"/>
    <x v="0"/>
    <x v="0"/>
    <x v="1"/>
  </r>
  <r>
    <s v="16"/>
    <x v="1"/>
    <x v="1"/>
    <x v="5"/>
    <n v="45154"/>
    <x v="1"/>
    <x v="0"/>
    <x v="2"/>
    <x v="1"/>
    <x v="1"/>
    <x v="1"/>
    <x v="2"/>
    <x v="1"/>
  </r>
  <r>
    <s v="17"/>
    <x v="0"/>
    <x v="0"/>
    <x v="1"/>
    <n v="45155"/>
    <x v="0"/>
    <x v="1"/>
    <x v="1"/>
    <x v="0"/>
    <x v="0"/>
    <x v="0"/>
    <x v="1"/>
    <x v="0"/>
  </r>
  <r>
    <s v="18"/>
    <x v="1"/>
    <x v="0"/>
    <x v="2"/>
    <n v="45156"/>
    <x v="2"/>
    <x v="0"/>
    <x v="1"/>
    <x v="0"/>
    <x v="1"/>
    <x v="0"/>
    <x v="1"/>
    <x v="0"/>
  </r>
  <r>
    <s v="19"/>
    <x v="0"/>
    <x v="1"/>
    <x v="3"/>
    <n v="45157"/>
    <x v="0"/>
    <x v="0"/>
    <x v="0"/>
    <x v="0"/>
    <x v="0"/>
    <x v="1"/>
    <x v="0"/>
    <x v="0"/>
  </r>
  <r>
    <s v="20"/>
    <x v="1"/>
    <x v="0"/>
    <x v="4"/>
    <n v="45158"/>
    <x v="2"/>
    <x v="1"/>
    <x v="1"/>
    <x v="0"/>
    <x v="1"/>
    <x v="0"/>
    <x v="1"/>
    <x v="0"/>
  </r>
  <r>
    <s v="21"/>
    <x v="0"/>
    <x v="1"/>
    <x v="5"/>
    <n v="45143"/>
    <x v="0"/>
    <x v="0"/>
    <x v="0"/>
    <x v="0"/>
    <x v="0"/>
    <x v="1"/>
    <x v="0"/>
    <x v="0"/>
  </r>
  <r>
    <s v="22"/>
    <x v="1"/>
    <x v="0"/>
    <x v="0"/>
    <n v="45146"/>
    <x v="1"/>
    <x v="1"/>
    <x v="1"/>
    <x v="1"/>
    <x v="1"/>
    <x v="0"/>
    <x v="1"/>
    <x v="1"/>
  </r>
  <r>
    <s v="23"/>
    <x v="1"/>
    <x v="1"/>
    <x v="1"/>
    <n v="45150"/>
    <x v="2"/>
    <x v="0"/>
    <x v="0"/>
    <x v="0"/>
    <x v="1"/>
    <x v="1"/>
    <x v="0"/>
    <x v="0"/>
  </r>
  <r>
    <s v="24"/>
    <x v="0"/>
    <x v="0"/>
    <x v="2"/>
    <n v="45153"/>
    <x v="0"/>
    <x v="1"/>
    <x v="1"/>
    <x v="0"/>
    <x v="0"/>
    <x v="0"/>
    <x v="1"/>
    <x v="0"/>
  </r>
  <r>
    <s v="25"/>
    <x v="1"/>
    <x v="0"/>
    <x v="3"/>
    <n v="45156"/>
    <x v="3"/>
    <x v="1"/>
    <x v="0"/>
    <x v="0"/>
    <x v="1"/>
    <x v="0"/>
    <x v="0"/>
    <x v="0"/>
  </r>
  <r>
    <s v="26"/>
    <x v="0"/>
    <x v="1"/>
    <x v="4"/>
    <n v="45160"/>
    <x v="0"/>
    <x v="0"/>
    <x v="0"/>
    <x v="0"/>
    <x v="0"/>
    <x v="1"/>
    <x v="0"/>
    <x v="0"/>
  </r>
  <r>
    <s v="27"/>
    <x v="1"/>
    <x v="0"/>
    <x v="5"/>
    <n v="45164"/>
    <x v="2"/>
    <x v="0"/>
    <x v="1"/>
    <x v="1"/>
    <x v="1"/>
    <x v="0"/>
    <x v="1"/>
    <x v="1"/>
  </r>
  <r>
    <s v="28"/>
    <x v="1"/>
    <x v="0"/>
    <x v="0"/>
    <n v="45139"/>
    <x v="3"/>
    <x v="1"/>
    <x v="1"/>
    <x v="0"/>
    <x v="1"/>
    <x v="0"/>
    <x v="1"/>
    <x v="0"/>
  </r>
  <r>
    <s v="29"/>
    <x v="0"/>
    <x v="1"/>
    <x v="1"/>
    <n v="45142"/>
    <x v="0"/>
    <x v="0"/>
    <x v="0"/>
    <x v="0"/>
    <x v="0"/>
    <x v="1"/>
    <x v="0"/>
    <x v="0"/>
  </r>
  <r>
    <s v="30"/>
    <x v="1"/>
    <x v="0"/>
    <x v="2"/>
    <n v="45145"/>
    <x v="1"/>
    <x v="0"/>
    <x v="2"/>
    <x v="1"/>
    <x v="1"/>
    <x v="0"/>
    <x v="2"/>
    <x v="1"/>
  </r>
  <r>
    <s v="31"/>
    <x v="0"/>
    <x v="1"/>
    <x v="3"/>
    <n v="45148"/>
    <x v="0"/>
    <x v="1"/>
    <x v="1"/>
    <x v="0"/>
    <x v="0"/>
    <x v="1"/>
    <x v="1"/>
    <x v="0"/>
  </r>
  <r>
    <s v="32"/>
    <x v="1"/>
    <x v="0"/>
    <x v="4"/>
    <n v="45151"/>
    <x v="2"/>
    <x v="0"/>
    <x v="1"/>
    <x v="0"/>
    <x v="1"/>
    <x v="0"/>
    <x v="1"/>
    <x v="0"/>
  </r>
  <r>
    <s v="33"/>
    <x v="0"/>
    <x v="1"/>
    <x v="5"/>
    <n v="45154"/>
    <x v="0"/>
    <x v="0"/>
    <x v="0"/>
    <x v="0"/>
    <x v="0"/>
    <x v="1"/>
    <x v="0"/>
    <x v="0"/>
  </r>
  <r>
    <s v="34"/>
    <x v="1"/>
    <x v="0"/>
    <x v="0"/>
    <n v="45157"/>
    <x v="3"/>
    <x v="1"/>
    <x v="1"/>
    <x v="0"/>
    <x v="1"/>
    <x v="0"/>
    <x v="1"/>
    <x v="0"/>
  </r>
  <r>
    <s v="35"/>
    <x v="0"/>
    <x v="1"/>
    <x v="3"/>
    <n v="45161"/>
    <x v="0"/>
    <x v="0"/>
    <x v="0"/>
    <x v="0"/>
    <x v="0"/>
    <x v="1"/>
    <x v="0"/>
    <x v="0"/>
  </r>
  <r>
    <s v="36"/>
    <x v="1"/>
    <x v="0"/>
    <x v="4"/>
    <n v="45165"/>
    <x v="2"/>
    <x v="1"/>
    <x v="0"/>
    <x v="1"/>
    <x v="1"/>
    <x v="0"/>
    <x v="0"/>
    <x v="1"/>
  </r>
  <r>
    <s v="37"/>
    <x v="1"/>
    <x v="1"/>
    <x v="5"/>
    <n v="45140"/>
    <x v="1"/>
    <x v="0"/>
    <x v="2"/>
    <x v="1"/>
    <x v="1"/>
    <x v="1"/>
    <x v="2"/>
    <x v="1"/>
  </r>
  <r>
    <s v="38"/>
    <x v="0"/>
    <x v="0"/>
    <x v="1"/>
    <n v="45144"/>
    <x v="0"/>
    <x v="1"/>
    <x v="1"/>
    <x v="0"/>
    <x v="0"/>
    <x v="0"/>
    <x v="1"/>
    <x v="0"/>
  </r>
  <r>
    <s v="39"/>
    <x v="1"/>
    <x v="0"/>
    <x v="2"/>
    <n v="45147"/>
    <x v="2"/>
    <x v="0"/>
    <x v="1"/>
    <x v="0"/>
    <x v="1"/>
    <x v="0"/>
    <x v="1"/>
    <x v="0"/>
  </r>
  <r>
    <s v="40"/>
    <x v="0"/>
    <x v="1"/>
    <x v="3"/>
    <n v="45152"/>
    <x v="0"/>
    <x v="0"/>
    <x v="0"/>
    <x v="0"/>
    <x v="0"/>
    <x v="1"/>
    <x v="0"/>
    <x v="0"/>
  </r>
  <r>
    <s v="41"/>
    <x v="0"/>
    <x v="1"/>
    <x v="5"/>
    <n v="45141"/>
    <x v="0"/>
    <x v="0"/>
    <x v="0"/>
    <x v="0"/>
    <x v="0"/>
    <x v="1"/>
    <x v="0"/>
    <x v="0"/>
  </r>
  <r>
    <s v="42"/>
    <x v="1"/>
    <x v="0"/>
    <x v="0"/>
    <n v="45144"/>
    <x v="1"/>
    <x v="1"/>
    <x v="1"/>
    <x v="1"/>
    <x v="1"/>
    <x v="0"/>
    <x v="1"/>
    <x v="1"/>
  </r>
  <r>
    <s v="43"/>
    <x v="1"/>
    <x v="1"/>
    <x v="1"/>
    <n v="45147"/>
    <x v="2"/>
    <x v="0"/>
    <x v="0"/>
    <x v="0"/>
    <x v="1"/>
    <x v="1"/>
    <x v="0"/>
    <x v="0"/>
  </r>
  <r>
    <s v="44"/>
    <x v="0"/>
    <x v="0"/>
    <x v="2"/>
    <n v="45150"/>
    <x v="0"/>
    <x v="1"/>
    <x v="1"/>
    <x v="0"/>
    <x v="0"/>
    <x v="0"/>
    <x v="1"/>
    <x v="0"/>
  </r>
  <r>
    <s v="45"/>
    <x v="1"/>
    <x v="0"/>
    <x v="3"/>
    <n v="45153"/>
    <x v="3"/>
    <x v="1"/>
    <x v="0"/>
    <x v="0"/>
    <x v="1"/>
    <x v="0"/>
    <x v="0"/>
    <x v="0"/>
  </r>
  <r>
    <s v="46"/>
    <x v="0"/>
    <x v="1"/>
    <x v="4"/>
    <n v="45156"/>
    <x v="0"/>
    <x v="0"/>
    <x v="0"/>
    <x v="0"/>
    <x v="0"/>
    <x v="1"/>
    <x v="0"/>
    <x v="0"/>
  </r>
  <r>
    <s v="47"/>
    <x v="1"/>
    <x v="0"/>
    <x v="5"/>
    <n v="45159"/>
    <x v="2"/>
    <x v="0"/>
    <x v="1"/>
    <x v="1"/>
    <x v="1"/>
    <x v="0"/>
    <x v="1"/>
    <x v="1"/>
  </r>
  <r>
    <s v="48"/>
    <x v="1"/>
    <x v="0"/>
    <x v="0"/>
    <n v="45162"/>
    <x v="3"/>
    <x v="1"/>
    <x v="1"/>
    <x v="0"/>
    <x v="1"/>
    <x v="0"/>
    <x v="1"/>
    <x v="0"/>
  </r>
  <r>
    <s v="49"/>
    <x v="0"/>
    <x v="1"/>
    <x v="1"/>
    <n v="45165"/>
    <x v="0"/>
    <x v="0"/>
    <x v="0"/>
    <x v="0"/>
    <x v="0"/>
    <x v="1"/>
    <x v="0"/>
    <x v="0"/>
  </r>
  <r>
    <s v="50"/>
    <x v="1"/>
    <x v="0"/>
    <x v="2"/>
    <n v="45168"/>
    <x v="1"/>
    <x v="0"/>
    <x v="2"/>
    <x v="1"/>
    <x v="1"/>
    <x v="0"/>
    <x v="2"/>
    <x v="1"/>
  </r>
  <r>
    <s v="51"/>
    <x v="0"/>
    <x v="1"/>
    <x v="3"/>
    <n v="45140"/>
    <x v="0"/>
    <x v="1"/>
    <x v="1"/>
    <x v="0"/>
    <x v="0"/>
    <x v="1"/>
    <x v="1"/>
    <x v="0"/>
  </r>
  <r>
    <s v="52"/>
    <x v="1"/>
    <x v="0"/>
    <x v="4"/>
    <n v="45143"/>
    <x v="2"/>
    <x v="0"/>
    <x v="1"/>
    <x v="0"/>
    <x v="1"/>
    <x v="0"/>
    <x v="1"/>
    <x v="0"/>
  </r>
  <r>
    <s v="53"/>
    <x v="0"/>
    <x v="1"/>
    <x v="5"/>
    <n v="45146"/>
    <x v="0"/>
    <x v="0"/>
    <x v="0"/>
    <x v="0"/>
    <x v="0"/>
    <x v="1"/>
    <x v="0"/>
    <x v="0"/>
  </r>
  <r>
    <s v="54"/>
    <x v="1"/>
    <x v="0"/>
    <x v="0"/>
    <n v="45149"/>
    <x v="3"/>
    <x v="1"/>
    <x v="1"/>
    <x v="0"/>
    <x v="1"/>
    <x v="0"/>
    <x v="1"/>
    <x v="0"/>
  </r>
  <r>
    <s v="55"/>
    <x v="0"/>
    <x v="1"/>
    <x v="3"/>
    <n v="45152"/>
    <x v="0"/>
    <x v="0"/>
    <x v="0"/>
    <x v="0"/>
    <x v="0"/>
    <x v="1"/>
    <x v="0"/>
    <x v="0"/>
  </r>
  <r>
    <s v="56"/>
    <x v="1"/>
    <x v="0"/>
    <x v="4"/>
    <n v="45155"/>
    <x v="2"/>
    <x v="1"/>
    <x v="0"/>
    <x v="1"/>
    <x v="1"/>
    <x v="0"/>
    <x v="0"/>
    <x v="1"/>
  </r>
  <r>
    <s v="57"/>
    <x v="1"/>
    <x v="1"/>
    <x v="5"/>
    <n v="45158"/>
    <x v="1"/>
    <x v="0"/>
    <x v="2"/>
    <x v="1"/>
    <x v="1"/>
    <x v="1"/>
    <x v="2"/>
    <x v="1"/>
  </r>
  <r>
    <s v="58"/>
    <x v="0"/>
    <x v="0"/>
    <x v="1"/>
    <n v="45161"/>
    <x v="0"/>
    <x v="1"/>
    <x v="1"/>
    <x v="0"/>
    <x v="0"/>
    <x v="0"/>
    <x v="1"/>
    <x v="0"/>
  </r>
  <r>
    <s v="59"/>
    <x v="1"/>
    <x v="0"/>
    <x v="2"/>
    <n v="45164"/>
    <x v="2"/>
    <x v="0"/>
    <x v="1"/>
    <x v="0"/>
    <x v="1"/>
    <x v="0"/>
    <x v="1"/>
    <x v="0"/>
  </r>
  <r>
    <s v="60"/>
    <x v="0"/>
    <x v="1"/>
    <x v="3"/>
    <n v="45167"/>
    <x v="0"/>
    <x v="0"/>
    <x v="0"/>
    <x v="0"/>
    <x v="0"/>
    <x v="1"/>
    <x v="0"/>
    <x v="0"/>
  </r>
  <r>
    <s v="61"/>
    <x v="1"/>
    <x v="0"/>
    <x v="5"/>
    <n v="45142"/>
    <x v="1"/>
    <x v="1"/>
    <x v="1"/>
    <x v="1"/>
    <x v="1"/>
    <x v="0"/>
    <x v="1"/>
    <x v="1"/>
  </r>
  <r>
    <s v="62"/>
    <x v="1"/>
    <x v="0"/>
    <x v="0"/>
    <n v="45145"/>
    <x v="3"/>
    <x v="1"/>
    <x v="1"/>
    <x v="0"/>
    <x v="1"/>
    <x v="0"/>
    <x v="1"/>
    <x v="0"/>
  </r>
  <r>
    <s v="63"/>
    <x v="0"/>
    <x v="1"/>
    <x v="1"/>
    <n v="45148"/>
    <x v="0"/>
    <x v="0"/>
    <x v="0"/>
    <x v="0"/>
    <x v="0"/>
    <x v="1"/>
    <x v="0"/>
    <x v="0"/>
  </r>
  <r>
    <s v="64"/>
    <x v="1"/>
    <x v="0"/>
    <x v="2"/>
    <n v="45151"/>
    <x v="1"/>
    <x v="0"/>
    <x v="2"/>
    <x v="1"/>
    <x v="1"/>
    <x v="0"/>
    <x v="2"/>
    <x v="1"/>
  </r>
  <r>
    <s v="65"/>
    <x v="0"/>
    <x v="1"/>
    <x v="3"/>
    <n v="45154"/>
    <x v="0"/>
    <x v="1"/>
    <x v="1"/>
    <x v="0"/>
    <x v="0"/>
    <x v="1"/>
    <x v="1"/>
    <x v="0"/>
  </r>
  <r>
    <s v="66"/>
    <x v="1"/>
    <x v="0"/>
    <x v="4"/>
    <n v="45157"/>
    <x v="2"/>
    <x v="0"/>
    <x v="1"/>
    <x v="0"/>
    <x v="1"/>
    <x v="0"/>
    <x v="1"/>
    <x v="0"/>
  </r>
  <r>
    <s v="67"/>
    <x v="0"/>
    <x v="1"/>
    <x v="5"/>
    <n v="45160"/>
    <x v="0"/>
    <x v="0"/>
    <x v="0"/>
    <x v="0"/>
    <x v="0"/>
    <x v="1"/>
    <x v="0"/>
    <x v="0"/>
  </r>
  <r>
    <s v="68"/>
    <x v="1"/>
    <x v="0"/>
    <x v="0"/>
    <n v="45163"/>
    <x v="3"/>
    <x v="1"/>
    <x v="1"/>
    <x v="0"/>
    <x v="1"/>
    <x v="0"/>
    <x v="1"/>
    <x v="0"/>
  </r>
  <r>
    <s v="69"/>
    <x v="0"/>
    <x v="1"/>
    <x v="3"/>
    <n v="45166"/>
    <x v="0"/>
    <x v="0"/>
    <x v="0"/>
    <x v="0"/>
    <x v="0"/>
    <x v="1"/>
    <x v="0"/>
    <x v="0"/>
  </r>
  <r>
    <s v="70"/>
    <x v="1"/>
    <x v="0"/>
    <x v="4"/>
    <n v="45139"/>
    <x v="2"/>
    <x v="1"/>
    <x v="0"/>
    <x v="1"/>
    <x v="1"/>
    <x v="0"/>
    <x v="0"/>
    <x v="1"/>
  </r>
  <r>
    <s v="71"/>
    <x v="0"/>
    <x v="1"/>
    <x v="5"/>
    <n v="45141"/>
    <x v="0"/>
    <x v="0"/>
    <x v="0"/>
    <x v="0"/>
    <x v="0"/>
    <x v="1"/>
    <x v="0"/>
    <x v="0"/>
  </r>
  <r>
    <s v="72"/>
    <x v="1"/>
    <x v="0"/>
    <x v="0"/>
    <n v="45144"/>
    <x v="1"/>
    <x v="1"/>
    <x v="1"/>
    <x v="1"/>
    <x v="1"/>
    <x v="0"/>
    <x v="1"/>
    <x v="1"/>
  </r>
  <r>
    <s v="73"/>
    <x v="1"/>
    <x v="1"/>
    <x v="1"/>
    <n v="45147"/>
    <x v="2"/>
    <x v="0"/>
    <x v="0"/>
    <x v="0"/>
    <x v="1"/>
    <x v="1"/>
    <x v="0"/>
    <x v="0"/>
  </r>
  <r>
    <s v="74"/>
    <x v="0"/>
    <x v="0"/>
    <x v="2"/>
    <n v="45150"/>
    <x v="0"/>
    <x v="1"/>
    <x v="1"/>
    <x v="0"/>
    <x v="0"/>
    <x v="0"/>
    <x v="1"/>
    <x v="0"/>
  </r>
  <r>
    <s v="75"/>
    <x v="1"/>
    <x v="0"/>
    <x v="3"/>
    <n v="45153"/>
    <x v="3"/>
    <x v="1"/>
    <x v="0"/>
    <x v="0"/>
    <x v="1"/>
    <x v="0"/>
    <x v="0"/>
    <x v="0"/>
  </r>
  <r>
    <s v="76"/>
    <x v="0"/>
    <x v="1"/>
    <x v="4"/>
    <n v="45156"/>
    <x v="0"/>
    <x v="0"/>
    <x v="0"/>
    <x v="0"/>
    <x v="0"/>
    <x v="1"/>
    <x v="0"/>
    <x v="0"/>
  </r>
  <r>
    <s v="77"/>
    <x v="1"/>
    <x v="0"/>
    <x v="5"/>
    <n v="45159"/>
    <x v="2"/>
    <x v="0"/>
    <x v="1"/>
    <x v="1"/>
    <x v="1"/>
    <x v="0"/>
    <x v="1"/>
    <x v="1"/>
  </r>
  <r>
    <s v="78"/>
    <x v="1"/>
    <x v="0"/>
    <x v="0"/>
    <n v="45162"/>
    <x v="3"/>
    <x v="1"/>
    <x v="1"/>
    <x v="0"/>
    <x v="1"/>
    <x v="0"/>
    <x v="1"/>
    <x v="0"/>
  </r>
  <r>
    <s v="79"/>
    <x v="0"/>
    <x v="1"/>
    <x v="1"/>
    <n v="45165"/>
    <x v="0"/>
    <x v="0"/>
    <x v="0"/>
    <x v="0"/>
    <x v="0"/>
    <x v="1"/>
    <x v="0"/>
    <x v="0"/>
  </r>
  <r>
    <s v="80"/>
    <x v="1"/>
    <x v="0"/>
    <x v="2"/>
    <n v="45168"/>
    <x v="1"/>
    <x v="0"/>
    <x v="2"/>
    <x v="1"/>
    <x v="1"/>
    <x v="0"/>
    <x v="2"/>
    <x v="1"/>
  </r>
  <r>
    <s v="81"/>
    <x v="0"/>
    <x v="1"/>
    <x v="3"/>
    <n v="45140"/>
    <x v="0"/>
    <x v="1"/>
    <x v="1"/>
    <x v="0"/>
    <x v="0"/>
    <x v="1"/>
    <x v="1"/>
    <x v="0"/>
  </r>
  <r>
    <s v="82"/>
    <x v="1"/>
    <x v="0"/>
    <x v="4"/>
    <n v="45143"/>
    <x v="2"/>
    <x v="0"/>
    <x v="1"/>
    <x v="0"/>
    <x v="1"/>
    <x v="0"/>
    <x v="1"/>
    <x v="0"/>
  </r>
  <r>
    <s v="83"/>
    <x v="0"/>
    <x v="1"/>
    <x v="5"/>
    <n v="45146"/>
    <x v="0"/>
    <x v="0"/>
    <x v="0"/>
    <x v="0"/>
    <x v="0"/>
    <x v="1"/>
    <x v="0"/>
    <x v="0"/>
  </r>
  <r>
    <s v="84"/>
    <x v="1"/>
    <x v="0"/>
    <x v="0"/>
    <n v="45149"/>
    <x v="3"/>
    <x v="1"/>
    <x v="1"/>
    <x v="0"/>
    <x v="1"/>
    <x v="0"/>
    <x v="1"/>
    <x v="0"/>
  </r>
  <r>
    <s v="85"/>
    <x v="0"/>
    <x v="1"/>
    <x v="3"/>
    <n v="45152"/>
    <x v="0"/>
    <x v="0"/>
    <x v="0"/>
    <x v="0"/>
    <x v="0"/>
    <x v="1"/>
    <x v="0"/>
    <x v="0"/>
  </r>
  <r>
    <s v="86"/>
    <x v="1"/>
    <x v="0"/>
    <x v="4"/>
    <n v="45155"/>
    <x v="2"/>
    <x v="1"/>
    <x v="0"/>
    <x v="1"/>
    <x v="1"/>
    <x v="0"/>
    <x v="0"/>
    <x v="1"/>
  </r>
  <r>
    <s v="87"/>
    <x v="1"/>
    <x v="1"/>
    <x v="5"/>
    <n v="45158"/>
    <x v="1"/>
    <x v="0"/>
    <x v="2"/>
    <x v="1"/>
    <x v="1"/>
    <x v="1"/>
    <x v="2"/>
    <x v="1"/>
  </r>
  <r>
    <s v="88"/>
    <x v="0"/>
    <x v="0"/>
    <x v="1"/>
    <n v="45161"/>
    <x v="0"/>
    <x v="1"/>
    <x v="1"/>
    <x v="0"/>
    <x v="0"/>
    <x v="0"/>
    <x v="1"/>
    <x v="0"/>
  </r>
  <r>
    <s v="89"/>
    <x v="1"/>
    <x v="0"/>
    <x v="2"/>
    <n v="45164"/>
    <x v="2"/>
    <x v="0"/>
    <x v="1"/>
    <x v="0"/>
    <x v="1"/>
    <x v="0"/>
    <x v="1"/>
    <x v="0"/>
  </r>
  <r>
    <s v="90"/>
    <x v="0"/>
    <x v="1"/>
    <x v="3"/>
    <n v="45167"/>
    <x v="0"/>
    <x v="0"/>
    <x v="0"/>
    <x v="0"/>
    <x v="0"/>
    <x v="1"/>
    <x v="0"/>
    <x v="0"/>
  </r>
  <r>
    <s v="91"/>
    <x v="1"/>
    <x v="0"/>
    <x v="5"/>
    <n v="45142"/>
    <x v="1"/>
    <x v="1"/>
    <x v="1"/>
    <x v="1"/>
    <x v="1"/>
    <x v="0"/>
    <x v="1"/>
    <x v="1"/>
  </r>
  <r>
    <s v="92"/>
    <x v="1"/>
    <x v="0"/>
    <x v="0"/>
    <n v="45145"/>
    <x v="3"/>
    <x v="1"/>
    <x v="1"/>
    <x v="0"/>
    <x v="1"/>
    <x v="0"/>
    <x v="1"/>
    <x v="0"/>
  </r>
  <r>
    <s v="93"/>
    <x v="0"/>
    <x v="1"/>
    <x v="1"/>
    <n v="45148"/>
    <x v="0"/>
    <x v="0"/>
    <x v="0"/>
    <x v="0"/>
    <x v="0"/>
    <x v="1"/>
    <x v="0"/>
    <x v="0"/>
  </r>
  <r>
    <s v="94"/>
    <x v="1"/>
    <x v="0"/>
    <x v="2"/>
    <n v="45151"/>
    <x v="1"/>
    <x v="0"/>
    <x v="2"/>
    <x v="1"/>
    <x v="1"/>
    <x v="0"/>
    <x v="2"/>
    <x v="1"/>
  </r>
  <r>
    <s v="95"/>
    <x v="0"/>
    <x v="1"/>
    <x v="3"/>
    <n v="45154"/>
    <x v="0"/>
    <x v="1"/>
    <x v="1"/>
    <x v="0"/>
    <x v="0"/>
    <x v="1"/>
    <x v="1"/>
    <x v="0"/>
  </r>
  <r>
    <s v="96"/>
    <x v="1"/>
    <x v="0"/>
    <x v="4"/>
    <n v="45157"/>
    <x v="2"/>
    <x v="0"/>
    <x v="1"/>
    <x v="0"/>
    <x v="1"/>
    <x v="0"/>
    <x v="1"/>
    <x v="0"/>
  </r>
  <r>
    <s v="97"/>
    <x v="0"/>
    <x v="1"/>
    <x v="5"/>
    <n v="45160"/>
    <x v="0"/>
    <x v="0"/>
    <x v="0"/>
    <x v="0"/>
    <x v="0"/>
    <x v="1"/>
    <x v="0"/>
    <x v="0"/>
  </r>
  <r>
    <s v="98"/>
    <x v="1"/>
    <x v="0"/>
    <x v="0"/>
    <n v="45163"/>
    <x v="3"/>
    <x v="1"/>
    <x v="1"/>
    <x v="0"/>
    <x v="1"/>
    <x v="0"/>
    <x v="1"/>
    <x v="0"/>
  </r>
  <r>
    <s v="99"/>
    <x v="0"/>
    <x v="1"/>
    <x v="3"/>
    <n v="45166"/>
    <x v="0"/>
    <x v="0"/>
    <x v="0"/>
    <x v="0"/>
    <x v="0"/>
    <x v="1"/>
    <x v="0"/>
    <x v="0"/>
  </r>
  <r>
    <s v="100"/>
    <x v="1"/>
    <x v="0"/>
    <x v="4"/>
    <n v="45139"/>
    <x v="2"/>
    <x v="1"/>
    <x v="0"/>
    <x v="1"/>
    <x v="1"/>
    <x v="0"/>
    <x v="0"/>
    <x v="1"/>
  </r>
  <r>
    <s v="101"/>
    <x v="0"/>
    <x v="1"/>
    <x v="5"/>
    <n v="45141"/>
    <x v="0"/>
    <x v="0"/>
    <x v="0"/>
    <x v="0"/>
    <x v="0"/>
    <x v="1"/>
    <x v="0"/>
    <x v="0"/>
  </r>
  <r>
    <s v="102"/>
    <x v="1"/>
    <x v="0"/>
    <x v="0"/>
    <n v="45144"/>
    <x v="1"/>
    <x v="1"/>
    <x v="1"/>
    <x v="1"/>
    <x v="1"/>
    <x v="0"/>
    <x v="1"/>
    <x v="1"/>
  </r>
  <r>
    <s v="103"/>
    <x v="1"/>
    <x v="1"/>
    <x v="1"/>
    <n v="45147"/>
    <x v="2"/>
    <x v="0"/>
    <x v="0"/>
    <x v="0"/>
    <x v="1"/>
    <x v="1"/>
    <x v="0"/>
    <x v="0"/>
  </r>
  <r>
    <s v="104"/>
    <x v="0"/>
    <x v="0"/>
    <x v="2"/>
    <n v="45150"/>
    <x v="0"/>
    <x v="1"/>
    <x v="1"/>
    <x v="0"/>
    <x v="0"/>
    <x v="0"/>
    <x v="1"/>
    <x v="0"/>
  </r>
  <r>
    <s v="105"/>
    <x v="1"/>
    <x v="0"/>
    <x v="3"/>
    <n v="45153"/>
    <x v="3"/>
    <x v="1"/>
    <x v="0"/>
    <x v="0"/>
    <x v="1"/>
    <x v="0"/>
    <x v="0"/>
    <x v="0"/>
  </r>
  <r>
    <s v="106"/>
    <x v="0"/>
    <x v="1"/>
    <x v="4"/>
    <n v="45156"/>
    <x v="0"/>
    <x v="0"/>
    <x v="0"/>
    <x v="0"/>
    <x v="0"/>
    <x v="1"/>
    <x v="0"/>
    <x v="0"/>
  </r>
  <r>
    <s v="107"/>
    <x v="1"/>
    <x v="0"/>
    <x v="5"/>
    <n v="45159"/>
    <x v="2"/>
    <x v="0"/>
    <x v="1"/>
    <x v="1"/>
    <x v="1"/>
    <x v="0"/>
    <x v="1"/>
    <x v="1"/>
  </r>
  <r>
    <s v="108"/>
    <x v="1"/>
    <x v="0"/>
    <x v="0"/>
    <n v="45162"/>
    <x v="3"/>
    <x v="1"/>
    <x v="1"/>
    <x v="0"/>
    <x v="1"/>
    <x v="0"/>
    <x v="1"/>
    <x v="0"/>
  </r>
  <r>
    <s v="109"/>
    <x v="0"/>
    <x v="1"/>
    <x v="1"/>
    <n v="45165"/>
    <x v="0"/>
    <x v="0"/>
    <x v="0"/>
    <x v="0"/>
    <x v="0"/>
    <x v="1"/>
    <x v="0"/>
    <x v="0"/>
  </r>
  <r>
    <s v="110"/>
    <x v="1"/>
    <x v="0"/>
    <x v="2"/>
    <n v="45168"/>
    <x v="1"/>
    <x v="0"/>
    <x v="2"/>
    <x v="1"/>
    <x v="1"/>
    <x v="0"/>
    <x v="2"/>
    <x v="1"/>
  </r>
  <r>
    <s v="111"/>
    <x v="0"/>
    <x v="1"/>
    <x v="3"/>
    <n v="45140"/>
    <x v="0"/>
    <x v="1"/>
    <x v="1"/>
    <x v="0"/>
    <x v="0"/>
    <x v="1"/>
    <x v="1"/>
    <x v="0"/>
  </r>
  <r>
    <s v="112"/>
    <x v="1"/>
    <x v="0"/>
    <x v="4"/>
    <n v="45143"/>
    <x v="2"/>
    <x v="0"/>
    <x v="1"/>
    <x v="0"/>
    <x v="1"/>
    <x v="0"/>
    <x v="1"/>
    <x v="0"/>
  </r>
  <r>
    <s v="113"/>
    <x v="0"/>
    <x v="1"/>
    <x v="5"/>
    <n v="45146"/>
    <x v="0"/>
    <x v="0"/>
    <x v="0"/>
    <x v="0"/>
    <x v="0"/>
    <x v="1"/>
    <x v="0"/>
    <x v="0"/>
  </r>
  <r>
    <s v="114"/>
    <x v="1"/>
    <x v="0"/>
    <x v="0"/>
    <n v="45149"/>
    <x v="3"/>
    <x v="1"/>
    <x v="1"/>
    <x v="0"/>
    <x v="1"/>
    <x v="0"/>
    <x v="1"/>
    <x v="0"/>
  </r>
  <r>
    <s v="115"/>
    <x v="0"/>
    <x v="1"/>
    <x v="3"/>
    <n v="45152"/>
    <x v="0"/>
    <x v="0"/>
    <x v="0"/>
    <x v="0"/>
    <x v="0"/>
    <x v="1"/>
    <x v="0"/>
    <x v="0"/>
  </r>
  <r>
    <s v="116"/>
    <x v="1"/>
    <x v="0"/>
    <x v="4"/>
    <n v="45155"/>
    <x v="2"/>
    <x v="1"/>
    <x v="0"/>
    <x v="1"/>
    <x v="1"/>
    <x v="0"/>
    <x v="0"/>
    <x v="1"/>
  </r>
  <r>
    <s v="117"/>
    <x v="1"/>
    <x v="1"/>
    <x v="5"/>
    <n v="45158"/>
    <x v="1"/>
    <x v="0"/>
    <x v="2"/>
    <x v="1"/>
    <x v="1"/>
    <x v="1"/>
    <x v="2"/>
    <x v="1"/>
  </r>
  <r>
    <s v="118"/>
    <x v="0"/>
    <x v="0"/>
    <x v="1"/>
    <n v="45161"/>
    <x v="0"/>
    <x v="1"/>
    <x v="1"/>
    <x v="0"/>
    <x v="0"/>
    <x v="0"/>
    <x v="1"/>
    <x v="0"/>
  </r>
  <r>
    <s v="119"/>
    <x v="1"/>
    <x v="0"/>
    <x v="2"/>
    <n v="45164"/>
    <x v="2"/>
    <x v="0"/>
    <x v="1"/>
    <x v="0"/>
    <x v="1"/>
    <x v="0"/>
    <x v="1"/>
    <x v="0"/>
  </r>
  <r>
    <s v="120"/>
    <x v="0"/>
    <x v="1"/>
    <x v="3"/>
    <n v="45167"/>
    <x v="0"/>
    <x v="0"/>
    <x v="0"/>
    <x v="0"/>
    <x v="0"/>
    <x v="1"/>
    <x v="0"/>
    <x v="0"/>
  </r>
  <r>
    <s v="121"/>
    <x v="0"/>
    <x v="1"/>
    <x v="5"/>
    <n v="45169"/>
    <x v="0"/>
    <x v="1"/>
    <x v="1"/>
    <x v="0"/>
    <x v="0"/>
    <x v="1"/>
    <x v="1"/>
    <x v="0"/>
  </r>
  <r>
    <s v="122"/>
    <x v="1"/>
    <x v="0"/>
    <x v="0"/>
    <n v="45169"/>
    <x v="1"/>
    <x v="0"/>
    <x v="2"/>
    <x v="1"/>
    <x v="1"/>
    <x v="0"/>
    <x v="2"/>
    <x v="1"/>
  </r>
  <r>
    <s v="123"/>
    <x v="1"/>
    <x v="1"/>
    <x v="1"/>
    <n v="45169"/>
    <x v="2"/>
    <x v="1"/>
    <x v="1"/>
    <x v="0"/>
    <x v="1"/>
    <x v="1"/>
    <x v="1"/>
    <x v="0"/>
  </r>
  <r>
    <s v="124"/>
    <x v="0"/>
    <x v="0"/>
    <x v="2"/>
    <n v="45169"/>
    <x v="0"/>
    <x v="0"/>
    <x v="0"/>
    <x v="0"/>
    <x v="0"/>
    <x v="0"/>
    <x v="0"/>
    <x v="0"/>
  </r>
  <r>
    <s v="125"/>
    <x v="1"/>
    <x v="0"/>
    <x v="3"/>
    <n v="45169"/>
    <x v="3"/>
    <x v="1"/>
    <x v="0"/>
    <x v="0"/>
    <x v="1"/>
    <x v="0"/>
    <x v="0"/>
    <x v="0"/>
  </r>
  <r>
    <s v="126"/>
    <x v="0"/>
    <x v="1"/>
    <x v="4"/>
    <n v="45169"/>
    <x v="0"/>
    <x v="0"/>
    <x v="0"/>
    <x v="0"/>
    <x v="0"/>
    <x v="1"/>
    <x v="0"/>
    <x v="0"/>
  </r>
  <r>
    <s v="127"/>
    <x v="1"/>
    <x v="0"/>
    <x v="5"/>
    <n v="45169"/>
    <x v="2"/>
    <x v="0"/>
    <x v="1"/>
    <x v="1"/>
    <x v="1"/>
    <x v="0"/>
    <x v="1"/>
    <x v="1"/>
  </r>
  <r>
    <s v="128"/>
    <x v="1"/>
    <x v="0"/>
    <x v="0"/>
    <n v="45169"/>
    <x v="3"/>
    <x v="1"/>
    <x v="1"/>
    <x v="0"/>
    <x v="1"/>
    <x v="0"/>
    <x v="1"/>
    <x v="0"/>
  </r>
  <r>
    <s v="129"/>
    <x v="0"/>
    <x v="1"/>
    <x v="1"/>
    <n v="45169"/>
    <x v="0"/>
    <x v="0"/>
    <x v="0"/>
    <x v="0"/>
    <x v="0"/>
    <x v="1"/>
    <x v="0"/>
    <x v="0"/>
  </r>
  <r>
    <s v="130"/>
    <x v="1"/>
    <x v="0"/>
    <x v="2"/>
    <n v="45169"/>
    <x v="1"/>
    <x v="0"/>
    <x v="2"/>
    <x v="1"/>
    <x v="1"/>
    <x v="0"/>
    <x v="2"/>
    <x v="1"/>
  </r>
  <r>
    <s v="131"/>
    <x v="0"/>
    <x v="1"/>
    <x v="3"/>
    <n v="45169"/>
    <x v="0"/>
    <x v="1"/>
    <x v="1"/>
    <x v="0"/>
    <x v="0"/>
    <x v="1"/>
    <x v="1"/>
    <x v="0"/>
  </r>
  <r>
    <s v="132"/>
    <x v="1"/>
    <x v="0"/>
    <x v="4"/>
    <n v="45169"/>
    <x v="2"/>
    <x v="0"/>
    <x v="1"/>
    <x v="0"/>
    <x v="1"/>
    <x v="0"/>
    <x v="1"/>
    <x v="0"/>
  </r>
  <r>
    <s v="133"/>
    <x v="0"/>
    <x v="1"/>
    <x v="5"/>
    <n v="45169"/>
    <x v="0"/>
    <x v="0"/>
    <x v="0"/>
    <x v="0"/>
    <x v="0"/>
    <x v="1"/>
    <x v="0"/>
    <x v="0"/>
  </r>
  <r>
    <s v="134"/>
    <x v="1"/>
    <x v="0"/>
    <x v="0"/>
    <n v="45169"/>
    <x v="3"/>
    <x v="1"/>
    <x v="1"/>
    <x v="0"/>
    <x v="1"/>
    <x v="0"/>
    <x v="1"/>
    <x v="0"/>
  </r>
  <r>
    <s v="135"/>
    <x v="0"/>
    <x v="1"/>
    <x v="3"/>
    <n v="45169"/>
    <x v="0"/>
    <x v="0"/>
    <x v="0"/>
    <x v="0"/>
    <x v="0"/>
    <x v="1"/>
    <x v="0"/>
    <x v="0"/>
  </r>
  <r>
    <s v="136"/>
    <x v="1"/>
    <x v="0"/>
    <x v="4"/>
    <n v="45169"/>
    <x v="2"/>
    <x v="1"/>
    <x v="0"/>
    <x v="1"/>
    <x v="1"/>
    <x v="0"/>
    <x v="0"/>
    <x v="1"/>
  </r>
  <r>
    <s v="137"/>
    <x v="1"/>
    <x v="1"/>
    <x v="5"/>
    <n v="45169"/>
    <x v="1"/>
    <x v="0"/>
    <x v="2"/>
    <x v="1"/>
    <x v="1"/>
    <x v="1"/>
    <x v="2"/>
    <x v="1"/>
  </r>
  <r>
    <s v="138"/>
    <x v="0"/>
    <x v="0"/>
    <x v="1"/>
    <n v="45169"/>
    <x v="0"/>
    <x v="1"/>
    <x v="1"/>
    <x v="0"/>
    <x v="0"/>
    <x v="0"/>
    <x v="1"/>
    <x v="0"/>
  </r>
  <r>
    <s v="139"/>
    <x v="1"/>
    <x v="0"/>
    <x v="2"/>
    <n v="45169"/>
    <x v="2"/>
    <x v="0"/>
    <x v="1"/>
    <x v="0"/>
    <x v="1"/>
    <x v="0"/>
    <x v="1"/>
    <x v="0"/>
  </r>
  <r>
    <s v="140"/>
    <x v="0"/>
    <x v="1"/>
    <x v="3"/>
    <n v="45169"/>
    <x v="0"/>
    <x v="0"/>
    <x v="0"/>
    <x v="0"/>
    <x v="0"/>
    <x v="1"/>
    <x v="0"/>
    <x v="0"/>
  </r>
  <r>
    <s v="141"/>
    <x v="0"/>
    <x v="1"/>
    <x v="1"/>
    <n v="45148"/>
    <x v="0"/>
    <x v="1"/>
    <x v="1"/>
    <x v="0"/>
    <x v="0"/>
    <x v="1"/>
    <x v="1"/>
    <x v="0"/>
  </r>
  <r>
    <s v="142"/>
    <x v="1"/>
    <x v="0"/>
    <x v="2"/>
    <n v="45153"/>
    <x v="1"/>
    <x v="0"/>
    <x v="2"/>
    <x v="1"/>
    <x v="1"/>
    <x v="0"/>
    <x v="2"/>
    <x v="1"/>
  </r>
  <r>
    <s v="143"/>
    <x v="1"/>
    <x v="1"/>
    <x v="3"/>
    <n v="45158"/>
    <x v="2"/>
    <x v="1"/>
    <x v="1"/>
    <x v="0"/>
    <x v="1"/>
    <x v="1"/>
    <x v="1"/>
    <x v="0"/>
  </r>
  <r>
    <s v="144"/>
    <x v="0"/>
    <x v="0"/>
    <x v="4"/>
    <n v="45163"/>
    <x v="0"/>
    <x v="0"/>
    <x v="0"/>
    <x v="0"/>
    <x v="0"/>
    <x v="0"/>
    <x v="0"/>
    <x v="0"/>
  </r>
  <r>
    <s v="145"/>
    <x v="0"/>
    <x v="0"/>
    <x v="5"/>
    <n v="45169"/>
    <x v="0"/>
    <x v="1"/>
    <x v="1"/>
    <x v="0"/>
    <x v="0"/>
    <x v="0"/>
    <x v="1"/>
    <x v="0"/>
  </r>
  <r>
    <s v="146"/>
    <x v="1"/>
    <x v="0"/>
    <x v="0"/>
    <n v="45146"/>
    <x v="3"/>
    <x v="1"/>
    <x v="1"/>
    <x v="0"/>
    <x v="1"/>
    <x v="0"/>
    <x v="1"/>
    <x v="0"/>
  </r>
  <r>
    <s v="147"/>
    <x v="1"/>
    <x v="1"/>
    <x v="3"/>
    <n v="45151"/>
    <x v="1"/>
    <x v="0"/>
    <x v="0"/>
    <x v="0"/>
    <x v="1"/>
    <x v="1"/>
    <x v="0"/>
    <x v="0"/>
  </r>
  <r>
    <s v="148"/>
    <x v="0"/>
    <x v="0"/>
    <x v="4"/>
    <n v="45156"/>
    <x v="0"/>
    <x v="0"/>
    <x v="0"/>
    <x v="1"/>
    <x v="0"/>
    <x v="0"/>
    <x v="0"/>
    <x v="1"/>
  </r>
  <r>
    <s v="149"/>
    <x v="1"/>
    <x v="1"/>
    <x v="5"/>
    <n v="45161"/>
    <x v="2"/>
    <x v="1"/>
    <x v="1"/>
    <x v="0"/>
    <x v="1"/>
    <x v="1"/>
    <x v="1"/>
    <x v="0"/>
  </r>
  <r>
    <s v="150"/>
    <x v="0"/>
    <x v="0"/>
    <x v="0"/>
    <n v="45166"/>
    <x v="0"/>
    <x v="0"/>
    <x v="0"/>
    <x v="0"/>
    <x v="0"/>
    <x v="0"/>
    <x v="0"/>
    <x v="0"/>
  </r>
  <r>
    <s v="151"/>
    <x v="1"/>
    <x v="0"/>
    <x v="2"/>
    <n v="45143"/>
    <x v="2"/>
    <x v="0"/>
    <x v="1"/>
    <x v="0"/>
    <x v="1"/>
    <x v="0"/>
    <x v="1"/>
    <x v="0"/>
  </r>
  <r>
    <s v="152"/>
    <x v="0"/>
    <x v="1"/>
    <x v="3"/>
    <n v="45148"/>
    <x v="0"/>
    <x v="1"/>
    <x v="1"/>
    <x v="0"/>
    <x v="0"/>
    <x v="1"/>
    <x v="1"/>
    <x v="0"/>
  </r>
  <r>
    <s v="153"/>
    <x v="1"/>
    <x v="0"/>
    <x v="4"/>
    <n v="45153"/>
    <x v="3"/>
    <x v="1"/>
    <x v="0"/>
    <x v="0"/>
    <x v="1"/>
    <x v="0"/>
    <x v="0"/>
    <x v="0"/>
  </r>
  <r>
    <s v="154"/>
    <x v="0"/>
    <x v="1"/>
    <x v="5"/>
    <n v="45158"/>
    <x v="0"/>
    <x v="0"/>
    <x v="0"/>
    <x v="0"/>
    <x v="0"/>
    <x v="1"/>
    <x v="0"/>
    <x v="0"/>
  </r>
  <r>
    <s v="155"/>
    <x v="1"/>
    <x v="0"/>
    <x v="0"/>
    <n v="45163"/>
    <x v="2"/>
    <x v="0"/>
    <x v="1"/>
    <x v="1"/>
    <x v="1"/>
    <x v="0"/>
    <x v="1"/>
    <x v="1"/>
  </r>
  <r>
    <s v="156"/>
    <x v="1"/>
    <x v="1"/>
    <x v="3"/>
    <n v="45169"/>
    <x v="1"/>
    <x v="1"/>
    <x v="2"/>
    <x v="1"/>
    <x v="1"/>
    <x v="1"/>
    <x v="2"/>
    <x v="1"/>
  </r>
  <r>
    <s v="157"/>
    <x v="0"/>
    <x v="0"/>
    <x v="4"/>
    <n v="45146"/>
    <x v="0"/>
    <x v="1"/>
    <x v="1"/>
    <x v="0"/>
    <x v="0"/>
    <x v="0"/>
    <x v="1"/>
    <x v="0"/>
  </r>
  <r>
    <s v="158"/>
    <x v="1"/>
    <x v="0"/>
    <x v="5"/>
    <n v="45151"/>
    <x v="2"/>
    <x v="0"/>
    <x v="1"/>
    <x v="0"/>
    <x v="1"/>
    <x v="0"/>
    <x v="1"/>
    <x v="0"/>
  </r>
  <r>
    <s v="159"/>
    <x v="0"/>
    <x v="1"/>
    <x v="0"/>
    <n v="45156"/>
    <x v="0"/>
    <x v="0"/>
    <x v="0"/>
    <x v="0"/>
    <x v="0"/>
    <x v="1"/>
    <x v="0"/>
    <x v="0"/>
  </r>
  <r>
    <s v="160"/>
    <x v="1"/>
    <x v="0"/>
    <x v="3"/>
    <n v="45161"/>
    <x v="3"/>
    <x v="1"/>
    <x v="1"/>
    <x v="1"/>
    <x v="1"/>
    <x v="0"/>
    <x v="1"/>
    <x v="1"/>
  </r>
  <r>
    <s v="161"/>
    <x v="1"/>
    <x v="1"/>
    <x v="4"/>
    <n v="45166"/>
    <x v="1"/>
    <x v="0"/>
    <x v="0"/>
    <x v="0"/>
    <x v="1"/>
    <x v="1"/>
    <x v="0"/>
    <x v="0"/>
  </r>
  <r>
    <s v="162"/>
    <x v="0"/>
    <x v="0"/>
    <x v="5"/>
    <n v="45144"/>
    <x v="0"/>
    <x v="1"/>
    <x v="1"/>
    <x v="0"/>
    <x v="0"/>
    <x v="0"/>
    <x v="1"/>
    <x v="0"/>
  </r>
  <r>
    <s v="163"/>
    <x v="1"/>
    <x v="1"/>
    <x v="0"/>
    <n v="45149"/>
    <x v="2"/>
    <x v="0"/>
    <x v="0"/>
    <x v="0"/>
    <x v="1"/>
    <x v="1"/>
    <x v="0"/>
    <x v="0"/>
  </r>
  <r>
    <s v="164"/>
    <x v="0"/>
    <x v="0"/>
    <x v="3"/>
    <n v="45154"/>
    <x v="0"/>
    <x v="0"/>
    <x v="0"/>
    <x v="0"/>
    <x v="0"/>
    <x v="0"/>
    <x v="0"/>
    <x v="0"/>
  </r>
  <r>
    <s v="165"/>
    <x v="1"/>
    <x v="1"/>
    <x v="4"/>
    <n v="45159"/>
    <x v="1"/>
    <x v="1"/>
    <x v="2"/>
    <x v="1"/>
    <x v="1"/>
    <x v="1"/>
    <x v="2"/>
    <x v="1"/>
  </r>
  <r>
    <s v="166"/>
    <x v="0"/>
    <x v="0"/>
    <x v="5"/>
    <n v="45164"/>
    <x v="0"/>
    <x v="0"/>
    <x v="1"/>
    <x v="0"/>
    <x v="0"/>
    <x v="0"/>
    <x v="1"/>
    <x v="0"/>
  </r>
  <r>
    <s v="167"/>
    <x v="1"/>
    <x v="1"/>
    <x v="0"/>
    <n v="45169"/>
    <x v="2"/>
    <x v="0"/>
    <x v="0"/>
    <x v="0"/>
    <x v="1"/>
    <x v="1"/>
    <x v="0"/>
    <x v="0"/>
  </r>
  <r>
    <s v="168"/>
    <x v="0"/>
    <x v="0"/>
    <x v="3"/>
    <n v="45145"/>
    <x v="0"/>
    <x v="1"/>
    <x v="1"/>
    <x v="1"/>
    <x v="0"/>
    <x v="0"/>
    <x v="1"/>
    <x v="1"/>
  </r>
  <r>
    <s v="169"/>
    <x v="1"/>
    <x v="1"/>
    <x v="4"/>
    <n v="45150"/>
    <x v="3"/>
    <x v="1"/>
    <x v="1"/>
    <x v="0"/>
    <x v="1"/>
    <x v="1"/>
    <x v="1"/>
    <x v="0"/>
  </r>
  <r>
    <s v="170"/>
    <x v="1"/>
    <x v="0"/>
    <x v="5"/>
    <n v="45155"/>
    <x v="1"/>
    <x v="0"/>
    <x v="0"/>
    <x v="0"/>
    <x v="1"/>
    <x v="0"/>
    <x v="0"/>
    <x v="0"/>
  </r>
  <r>
    <s v="171"/>
    <x v="0"/>
    <x v="1"/>
    <x v="0"/>
    <n v="45160"/>
    <x v="0"/>
    <x v="0"/>
    <x v="0"/>
    <x v="0"/>
    <x v="0"/>
    <x v="1"/>
    <x v="0"/>
    <x v="0"/>
  </r>
  <r>
    <s v="172"/>
    <x v="1"/>
    <x v="0"/>
    <x v="3"/>
    <n v="45165"/>
    <x v="2"/>
    <x v="1"/>
    <x v="2"/>
    <x v="0"/>
    <x v="1"/>
    <x v="0"/>
    <x v="2"/>
    <x v="0"/>
  </r>
  <r>
    <s v="173"/>
    <x v="0"/>
    <x v="1"/>
    <x v="4"/>
    <n v="45141"/>
    <x v="0"/>
    <x v="0"/>
    <x v="0"/>
    <x v="0"/>
    <x v="0"/>
    <x v="1"/>
    <x v="0"/>
    <x v="0"/>
  </r>
  <r>
    <s v="174"/>
    <x v="1"/>
    <x v="0"/>
    <x v="5"/>
    <n v="45146"/>
    <x v="2"/>
    <x v="1"/>
    <x v="1"/>
    <x v="0"/>
    <x v="1"/>
    <x v="0"/>
    <x v="1"/>
    <x v="0"/>
  </r>
  <r>
    <s v="175"/>
    <x v="0"/>
    <x v="1"/>
    <x v="0"/>
    <n v="45151"/>
    <x v="0"/>
    <x v="0"/>
    <x v="0"/>
    <x v="1"/>
    <x v="0"/>
    <x v="1"/>
    <x v="0"/>
    <x v="1"/>
  </r>
  <r>
    <s v="176"/>
    <x v="1"/>
    <x v="0"/>
    <x v="3"/>
    <n v="45156"/>
    <x v="1"/>
    <x v="0"/>
    <x v="1"/>
    <x v="0"/>
    <x v="1"/>
    <x v="0"/>
    <x v="1"/>
    <x v="0"/>
  </r>
  <r>
    <s v="177"/>
    <x v="0"/>
    <x v="1"/>
    <x v="4"/>
    <n v="45161"/>
    <x v="0"/>
    <x v="1"/>
    <x v="0"/>
    <x v="0"/>
    <x v="0"/>
    <x v="1"/>
    <x v="0"/>
    <x v="0"/>
  </r>
  <r>
    <s v="178"/>
    <x v="1"/>
    <x v="0"/>
    <x v="5"/>
    <n v="45166"/>
    <x v="2"/>
    <x v="0"/>
    <x v="1"/>
    <x v="0"/>
    <x v="1"/>
    <x v="0"/>
    <x v="1"/>
    <x v="0"/>
  </r>
  <r>
    <s v="179"/>
    <x v="0"/>
    <x v="1"/>
    <x v="0"/>
    <n v="45142"/>
    <x v="0"/>
    <x v="0"/>
    <x v="0"/>
    <x v="0"/>
    <x v="0"/>
    <x v="1"/>
    <x v="0"/>
    <x v="0"/>
  </r>
  <r>
    <s v="180"/>
    <x v="1"/>
    <x v="0"/>
    <x v="3"/>
    <n v="45147"/>
    <x v="3"/>
    <x v="1"/>
    <x v="1"/>
    <x v="0"/>
    <x v="1"/>
    <x v="0"/>
    <x v="1"/>
    <x v="0"/>
  </r>
  <r>
    <s v="181"/>
    <x v="0"/>
    <x v="1"/>
    <x v="4"/>
    <n v="45152"/>
    <x v="0"/>
    <x v="0"/>
    <x v="0"/>
    <x v="0"/>
    <x v="0"/>
    <x v="1"/>
    <x v="0"/>
    <x v="0"/>
  </r>
  <r>
    <s v="182"/>
    <x v="1"/>
    <x v="0"/>
    <x v="5"/>
    <n v="45157"/>
    <x v="2"/>
    <x v="1"/>
    <x v="1"/>
    <x v="1"/>
    <x v="1"/>
    <x v="0"/>
    <x v="1"/>
    <x v="1"/>
  </r>
  <r>
    <s v="183"/>
    <x v="0"/>
    <x v="1"/>
    <x v="0"/>
    <n v="45162"/>
    <x v="0"/>
    <x v="0"/>
    <x v="0"/>
    <x v="0"/>
    <x v="0"/>
    <x v="1"/>
    <x v="0"/>
    <x v="0"/>
  </r>
  <r>
    <s v="184"/>
    <x v="1"/>
    <x v="0"/>
    <x v="3"/>
    <n v="45167"/>
    <x v="1"/>
    <x v="0"/>
    <x v="0"/>
    <x v="0"/>
    <x v="1"/>
    <x v="0"/>
    <x v="0"/>
    <x v="0"/>
  </r>
  <r>
    <s v="185"/>
    <x v="0"/>
    <x v="1"/>
    <x v="4"/>
    <n v="45140"/>
    <x v="0"/>
    <x v="1"/>
    <x v="1"/>
    <x v="0"/>
    <x v="0"/>
    <x v="1"/>
    <x v="1"/>
    <x v="0"/>
  </r>
  <r>
    <s v="186"/>
    <x v="1"/>
    <x v="0"/>
    <x v="5"/>
    <n v="45145"/>
    <x v="2"/>
    <x v="0"/>
    <x v="0"/>
    <x v="0"/>
    <x v="1"/>
    <x v="0"/>
    <x v="0"/>
    <x v="0"/>
  </r>
  <r>
    <s v="187"/>
    <x v="0"/>
    <x v="1"/>
    <x v="0"/>
    <n v="45150"/>
    <x v="0"/>
    <x v="0"/>
    <x v="1"/>
    <x v="1"/>
    <x v="0"/>
    <x v="1"/>
    <x v="1"/>
    <x v="1"/>
  </r>
  <r>
    <s v="188"/>
    <x v="1"/>
    <x v="0"/>
    <x v="3"/>
    <n v="45155"/>
    <x v="1"/>
    <x v="1"/>
    <x v="1"/>
    <x v="0"/>
    <x v="1"/>
    <x v="0"/>
    <x v="1"/>
    <x v="0"/>
  </r>
  <r>
    <s v="189"/>
    <x v="0"/>
    <x v="1"/>
    <x v="4"/>
    <n v="45160"/>
    <x v="0"/>
    <x v="0"/>
    <x v="0"/>
    <x v="0"/>
    <x v="0"/>
    <x v="1"/>
    <x v="0"/>
    <x v="0"/>
  </r>
  <r>
    <s v="190"/>
    <x v="1"/>
    <x v="0"/>
    <x v="5"/>
    <n v="45165"/>
    <x v="2"/>
    <x v="1"/>
    <x v="0"/>
    <x v="0"/>
    <x v="1"/>
    <x v="0"/>
    <x v="0"/>
    <x v="0"/>
  </r>
  <r>
    <s v="191"/>
    <x v="0"/>
    <x v="1"/>
    <x v="0"/>
    <n v="45143"/>
    <x v="0"/>
    <x v="0"/>
    <x v="1"/>
    <x v="0"/>
    <x v="0"/>
    <x v="1"/>
    <x v="1"/>
    <x v="0"/>
  </r>
  <r>
    <s v="192"/>
    <x v="1"/>
    <x v="0"/>
    <x v="3"/>
    <n v="45148"/>
    <x v="1"/>
    <x v="0"/>
    <x v="0"/>
    <x v="0"/>
    <x v="1"/>
    <x v="0"/>
    <x v="0"/>
    <x v="0"/>
  </r>
  <r>
    <s v="193"/>
    <x v="0"/>
    <x v="1"/>
    <x v="4"/>
    <n v="45153"/>
    <x v="0"/>
    <x v="1"/>
    <x v="1"/>
    <x v="0"/>
    <x v="0"/>
    <x v="1"/>
    <x v="1"/>
    <x v="0"/>
  </r>
  <r>
    <s v="194"/>
    <x v="1"/>
    <x v="0"/>
    <x v="5"/>
    <n v="45158"/>
    <x v="2"/>
    <x v="0"/>
    <x v="1"/>
    <x v="1"/>
    <x v="1"/>
    <x v="0"/>
    <x v="1"/>
    <x v="1"/>
  </r>
  <r>
    <s v="195"/>
    <x v="0"/>
    <x v="1"/>
    <x v="0"/>
    <n v="45163"/>
    <x v="0"/>
    <x v="0"/>
    <x v="0"/>
    <x v="0"/>
    <x v="0"/>
    <x v="1"/>
    <x v="0"/>
    <x v="0"/>
  </r>
  <r>
    <s v="196"/>
    <x v="1"/>
    <x v="0"/>
    <x v="3"/>
    <n v="45168"/>
    <x v="3"/>
    <x v="1"/>
    <x v="1"/>
    <x v="0"/>
    <x v="1"/>
    <x v="0"/>
    <x v="1"/>
    <x v="0"/>
  </r>
  <r>
    <s v="197"/>
    <x v="1"/>
    <x v="1"/>
    <x v="4"/>
    <n v="45139"/>
    <x v="1"/>
    <x v="0"/>
    <x v="0"/>
    <x v="1"/>
    <x v="1"/>
    <x v="1"/>
    <x v="0"/>
    <x v="1"/>
  </r>
  <r>
    <s v="198"/>
    <x v="0"/>
    <x v="0"/>
    <x v="5"/>
    <n v="45144"/>
    <x v="0"/>
    <x v="1"/>
    <x v="1"/>
    <x v="0"/>
    <x v="0"/>
    <x v="0"/>
    <x v="1"/>
    <x v="0"/>
  </r>
  <r>
    <s v="199"/>
    <x v="1"/>
    <x v="1"/>
    <x v="0"/>
    <n v="45149"/>
    <x v="2"/>
    <x v="0"/>
    <x v="0"/>
    <x v="0"/>
    <x v="1"/>
    <x v="1"/>
    <x v="0"/>
    <x v="0"/>
  </r>
  <r>
    <s v="200"/>
    <x v="0"/>
    <x v="0"/>
    <x v="3"/>
    <n v="45154"/>
    <x v="0"/>
    <x v="0"/>
    <x v="0"/>
    <x v="0"/>
    <x v="0"/>
    <x v="0"/>
    <x v="0"/>
    <x v="0"/>
  </r>
  <r>
    <s v="201"/>
    <x v="1"/>
    <x v="0"/>
    <x v="5"/>
    <n v="45159"/>
    <x v="2"/>
    <x v="0"/>
    <x v="0"/>
    <x v="1"/>
    <x v="1"/>
    <x v="0"/>
    <x v="0"/>
    <x v="1"/>
  </r>
  <r>
    <s v="202"/>
    <x v="0"/>
    <x v="1"/>
    <x v="0"/>
    <n v="45164"/>
    <x v="0"/>
    <x v="0"/>
    <x v="1"/>
    <x v="0"/>
    <x v="0"/>
    <x v="1"/>
    <x v="1"/>
    <x v="0"/>
  </r>
  <r>
    <s v="203"/>
    <x v="1"/>
    <x v="0"/>
    <x v="3"/>
    <n v="45169"/>
    <x v="1"/>
    <x v="1"/>
    <x v="2"/>
    <x v="1"/>
    <x v="1"/>
    <x v="0"/>
    <x v="2"/>
    <x v="1"/>
  </r>
  <r>
    <s v="204"/>
    <x v="0"/>
    <x v="1"/>
    <x v="4"/>
    <n v="45146"/>
    <x v="0"/>
    <x v="1"/>
    <x v="1"/>
    <x v="0"/>
    <x v="0"/>
    <x v="1"/>
    <x v="1"/>
    <x v="0"/>
  </r>
  <r>
    <s v="205"/>
    <x v="1"/>
    <x v="0"/>
    <x v="5"/>
    <n v="45151"/>
    <x v="2"/>
    <x v="0"/>
    <x v="1"/>
    <x v="0"/>
    <x v="1"/>
    <x v="0"/>
    <x v="1"/>
    <x v="0"/>
  </r>
  <r>
    <s v="206"/>
    <x v="0"/>
    <x v="1"/>
    <x v="0"/>
    <n v="45156"/>
    <x v="0"/>
    <x v="0"/>
    <x v="0"/>
    <x v="0"/>
    <x v="0"/>
    <x v="1"/>
    <x v="0"/>
    <x v="0"/>
  </r>
  <r>
    <s v="207"/>
    <x v="1"/>
    <x v="0"/>
    <x v="3"/>
    <n v="45161"/>
    <x v="3"/>
    <x v="1"/>
    <x v="1"/>
    <x v="1"/>
    <x v="1"/>
    <x v="0"/>
    <x v="1"/>
    <x v="1"/>
  </r>
  <r>
    <s v="208"/>
    <x v="1"/>
    <x v="1"/>
    <x v="4"/>
    <n v="45166"/>
    <x v="1"/>
    <x v="0"/>
    <x v="0"/>
    <x v="0"/>
    <x v="1"/>
    <x v="1"/>
    <x v="0"/>
    <x v="0"/>
  </r>
  <r>
    <s v="209"/>
    <x v="0"/>
    <x v="0"/>
    <x v="5"/>
    <n v="45144"/>
    <x v="0"/>
    <x v="1"/>
    <x v="1"/>
    <x v="0"/>
    <x v="0"/>
    <x v="0"/>
    <x v="1"/>
    <x v="0"/>
  </r>
  <r>
    <s v="210"/>
    <x v="1"/>
    <x v="1"/>
    <x v="0"/>
    <n v="45149"/>
    <x v="2"/>
    <x v="0"/>
    <x v="0"/>
    <x v="0"/>
    <x v="1"/>
    <x v="1"/>
    <x v="0"/>
    <x v="0"/>
  </r>
  <r>
    <s v="211"/>
    <x v="0"/>
    <x v="0"/>
    <x v="3"/>
    <n v="45154"/>
    <x v="0"/>
    <x v="0"/>
    <x v="0"/>
    <x v="0"/>
    <x v="0"/>
    <x v="0"/>
    <x v="0"/>
    <x v="0"/>
  </r>
  <r>
    <s v="212"/>
    <x v="1"/>
    <x v="1"/>
    <x v="4"/>
    <n v="45159"/>
    <x v="1"/>
    <x v="1"/>
    <x v="2"/>
    <x v="1"/>
    <x v="1"/>
    <x v="1"/>
    <x v="2"/>
    <x v="1"/>
  </r>
  <r>
    <s v="213"/>
    <x v="0"/>
    <x v="0"/>
    <x v="5"/>
    <n v="45164"/>
    <x v="0"/>
    <x v="0"/>
    <x v="1"/>
    <x v="0"/>
    <x v="0"/>
    <x v="0"/>
    <x v="1"/>
    <x v="0"/>
  </r>
  <r>
    <s v="214"/>
    <x v="1"/>
    <x v="1"/>
    <x v="0"/>
    <n v="45169"/>
    <x v="2"/>
    <x v="0"/>
    <x v="0"/>
    <x v="0"/>
    <x v="1"/>
    <x v="1"/>
    <x v="0"/>
    <x v="0"/>
  </r>
  <r>
    <s v="215"/>
    <x v="0"/>
    <x v="0"/>
    <x v="3"/>
    <n v="45145"/>
    <x v="0"/>
    <x v="1"/>
    <x v="1"/>
    <x v="1"/>
    <x v="0"/>
    <x v="0"/>
    <x v="1"/>
    <x v="1"/>
  </r>
  <r>
    <s v="216"/>
    <x v="1"/>
    <x v="1"/>
    <x v="4"/>
    <n v="45150"/>
    <x v="3"/>
    <x v="1"/>
    <x v="1"/>
    <x v="0"/>
    <x v="1"/>
    <x v="1"/>
    <x v="1"/>
    <x v="0"/>
  </r>
  <r>
    <s v="217"/>
    <x v="1"/>
    <x v="0"/>
    <x v="5"/>
    <n v="45155"/>
    <x v="1"/>
    <x v="0"/>
    <x v="0"/>
    <x v="0"/>
    <x v="1"/>
    <x v="0"/>
    <x v="0"/>
    <x v="0"/>
  </r>
  <r>
    <s v="218"/>
    <x v="0"/>
    <x v="1"/>
    <x v="0"/>
    <n v="45160"/>
    <x v="0"/>
    <x v="0"/>
    <x v="0"/>
    <x v="0"/>
    <x v="0"/>
    <x v="1"/>
    <x v="0"/>
    <x v="0"/>
  </r>
  <r>
    <s v="219"/>
    <x v="1"/>
    <x v="0"/>
    <x v="3"/>
    <n v="45165"/>
    <x v="2"/>
    <x v="1"/>
    <x v="2"/>
    <x v="0"/>
    <x v="1"/>
    <x v="0"/>
    <x v="2"/>
    <x v="0"/>
  </r>
  <r>
    <s v="220"/>
    <x v="0"/>
    <x v="1"/>
    <x v="4"/>
    <n v="45141"/>
    <x v="0"/>
    <x v="0"/>
    <x v="0"/>
    <x v="0"/>
    <x v="0"/>
    <x v="1"/>
    <x v="0"/>
    <x v="0"/>
  </r>
  <r>
    <s v="221"/>
    <x v="1"/>
    <x v="0"/>
    <x v="5"/>
    <n v="45146"/>
    <x v="2"/>
    <x v="1"/>
    <x v="1"/>
    <x v="0"/>
    <x v="1"/>
    <x v="0"/>
    <x v="1"/>
    <x v="0"/>
  </r>
  <r>
    <s v="222"/>
    <x v="0"/>
    <x v="1"/>
    <x v="0"/>
    <n v="45151"/>
    <x v="0"/>
    <x v="0"/>
    <x v="0"/>
    <x v="1"/>
    <x v="0"/>
    <x v="1"/>
    <x v="0"/>
    <x v="1"/>
  </r>
  <r>
    <s v="223"/>
    <x v="1"/>
    <x v="0"/>
    <x v="3"/>
    <n v="45156"/>
    <x v="1"/>
    <x v="0"/>
    <x v="1"/>
    <x v="0"/>
    <x v="1"/>
    <x v="0"/>
    <x v="1"/>
    <x v="0"/>
  </r>
  <r>
    <s v="224"/>
    <x v="0"/>
    <x v="1"/>
    <x v="4"/>
    <n v="45161"/>
    <x v="0"/>
    <x v="1"/>
    <x v="0"/>
    <x v="0"/>
    <x v="0"/>
    <x v="1"/>
    <x v="0"/>
    <x v="0"/>
  </r>
  <r>
    <s v="225"/>
    <x v="1"/>
    <x v="0"/>
    <x v="5"/>
    <n v="45166"/>
    <x v="2"/>
    <x v="0"/>
    <x v="1"/>
    <x v="0"/>
    <x v="1"/>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2"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R3:S5" firstHeaderRow="1" firstDataRow="1" firstDataCol="1"/>
  <pivotFields count="13">
    <pivotField dataField="1" showAll="0"/>
    <pivotField showAll="0" defaultSubtotal="0"/>
    <pivotField showAll="0"/>
    <pivotField showAll="0">
      <items count="7">
        <item x="2"/>
        <item x="5"/>
        <item x="4"/>
        <item x="3"/>
        <item x="1"/>
        <item x="0"/>
        <item t="default"/>
      </items>
    </pivotField>
    <pivotField showAll="0"/>
    <pivotField showAll="0"/>
    <pivotField showAll="0">
      <items count="3">
        <item x="0"/>
        <item x="1"/>
        <item t="default"/>
      </items>
    </pivotField>
    <pivotField showAll="0"/>
    <pivotField showAll="0"/>
    <pivotField axis="axisRow" showAll="0">
      <items count="3">
        <item h="1" x="0"/>
        <item x="1"/>
        <item t="default"/>
      </items>
    </pivotField>
    <pivotField showAll="0">
      <items count="3">
        <item x="1"/>
        <item x="0"/>
        <item t="default"/>
      </items>
    </pivotField>
    <pivotField showAll="0">
      <items count="4">
        <item x="0"/>
        <item x="1"/>
        <item x="2"/>
        <item t="default"/>
      </items>
    </pivotField>
    <pivotField showAll="0"/>
  </pivotFields>
  <rowFields count="1">
    <field x="9"/>
  </rowFields>
  <rowItems count="2">
    <i>
      <x v="1"/>
    </i>
    <i t="grand">
      <x/>
    </i>
  </rowItems>
  <colItems count="1">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3:M6" firstHeaderRow="1" firstDataRow="1" firstDataCol="1"/>
  <pivotFields count="13">
    <pivotField showAll="0"/>
    <pivotField showAll="0" defaultSubtotal="0"/>
    <pivotField showAll="0"/>
    <pivotField showAll="0">
      <items count="7">
        <item x="2"/>
        <item x="5"/>
        <item x="4"/>
        <item x="3"/>
        <item x="1"/>
        <item x="0"/>
        <item t="default"/>
      </items>
    </pivotField>
    <pivotField showAll="0"/>
    <pivotField showAll="0"/>
    <pivotField axis="axisRow" showAll="0">
      <items count="3">
        <item x="0"/>
        <item x="1"/>
        <item t="default"/>
      </items>
    </pivotField>
    <pivotField dataField="1" showAll="0"/>
    <pivotField showAll="0"/>
    <pivotField showAll="0"/>
    <pivotField showAll="0">
      <items count="3">
        <item x="1"/>
        <item x="0"/>
        <item t="default"/>
      </items>
    </pivotField>
    <pivotField showAll="0">
      <items count="4">
        <item x="0"/>
        <item x="1"/>
        <item x="2"/>
        <item t="default"/>
      </items>
    </pivotField>
    <pivotField showAll="0"/>
  </pivotFields>
  <rowFields count="1">
    <field x="6"/>
  </rowFields>
  <rowItems count="3">
    <i>
      <x/>
    </i>
    <i>
      <x v="1"/>
    </i>
    <i t="grand">
      <x/>
    </i>
  </rowItems>
  <colItems count="1">
    <i/>
  </colItems>
  <dataFields count="1">
    <dataField name="Count of Produc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3">
    <pivotField dataField="1" showAll="0"/>
    <pivotField showAll="0" defaultSubtotal="0"/>
    <pivotField showAll="0"/>
    <pivotField showAll="0">
      <items count="7">
        <item x="2"/>
        <item x="5"/>
        <item x="4"/>
        <item x="3"/>
        <item x="1"/>
        <item x="0"/>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pivotFields>
  <rowItems count="1">
    <i/>
  </rowItems>
  <colItems count="1">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V3:X10" firstHeaderRow="0" firstDataRow="1" firstDataCol="1"/>
  <pivotFields count="3">
    <pivotField axis="axisRow" allDrilled="1" showAll="0" dataSourceSort="1" defaultAttributeDrillState="1">
      <items count="7">
        <item x="0"/>
        <item x="1"/>
        <item x="2"/>
        <item x="3"/>
        <item x="4"/>
        <item x="5"/>
        <item t="default"/>
      </items>
    </pivotField>
    <pivotField dataField="1" showAll="0"/>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Count of Client ID" fld="1" subtotal="count" baseField="0" baseItem="0"/>
    <dataField name="Sum of Clients" fld="2" baseField="0" baseItem="0"/>
  </dataFields>
  <chartFormats count="8">
    <chartFormat chart="0" format="1"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 Estate dataset with Coach Anietie.xlsx!Table2">
        <x15:activeTabTopLevelEntity name="[Table2]"/>
      </x15:pivotTableUISettings>
    </ext>
  </extLst>
</pivotTableDefinition>
</file>

<file path=xl/pivotTables/pivotTable5.xml><?xml version="1.0" encoding="utf-8"?>
<pivotTableDefinition xmlns="http://schemas.openxmlformats.org/spreadsheetml/2006/main" name="PivotTable7"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C3:D6" firstHeaderRow="1" firstDataRow="1" firstDataCol="1"/>
  <pivotFields count="13">
    <pivotField showAll="0"/>
    <pivotField showAll="0" defaultSubtotal="0"/>
    <pivotField axis="axisRow" dataField="1" showAll="0">
      <items count="3">
        <item x="0"/>
        <item x="1"/>
        <item t="default"/>
      </items>
    </pivotField>
    <pivotField showAll="0">
      <items count="7">
        <item x="2"/>
        <item x="5"/>
        <item x="4"/>
        <item x="3"/>
        <item x="1"/>
        <item x="0"/>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pivotFields>
  <rowFields count="1">
    <field x="2"/>
  </rowFields>
  <rowItems count="3">
    <i>
      <x/>
    </i>
    <i>
      <x v="1"/>
    </i>
    <i t="grand">
      <x/>
    </i>
  </rowItems>
  <colItems count="1">
    <i/>
  </colItems>
  <dataFields count="1">
    <dataField name="Count of Client Gender " fld="2" subtotal="count"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29" applyNumberFormats="0" applyBorderFormats="0" applyFontFormats="0" applyPatternFormats="0" applyAlignmentFormats="0" applyWidthHeightFormats="1" dataCaption="Values" tag="6cd805bd-a17f-4761-a8d1-5fae2e5de5b8" updatedVersion="5" minRefreshableVersion="3" useAutoFormatting="1" itemPrintTitles="1" createdVersion="5" indent="0" outline="1" outlineData="1" multipleFieldFilters="0">
  <location ref="O12:O13" firstHeaderRow="1" firstDataRow="1" firstDataCol="0"/>
  <pivotFields count="1">
    <pivotField dataField="1" showAll="0"/>
  </pivotFields>
  <rowItems count="1">
    <i/>
  </rowItems>
  <colItems count="1">
    <i/>
  </colItems>
  <dataFields count="1">
    <dataField name="Sum of Clients"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 Estate dataset with Coach Anietie.xlsx!Table2">
        <x15:activeTabTopLevelEntity name="[Table2]"/>
      </x15:pivotTableUISettings>
    </ext>
  </extLst>
</pivotTableDefinition>
</file>

<file path=xl/pivotTables/pivotTable7.xml><?xml version="1.0" encoding="utf-8"?>
<pivotTableDefinition xmlns="http://schemas.openxmlformats.org/spreadsheetml/2006/main" name="PivotTable8"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3:G10" firstHeaderRow="1" firstDataRow="1" firstDataCol="1"/>
  <pivotFields count="13">
    <pivotField dataField="1" showAll="0"/>
    <pivotField showAll="0" defaultSubtotal="0"/>
    <pivotField showAll="0"/>
    <pivotField axis="axisRow" showAll="0">
      <items count="7">
        <item x="2"/>
        <item x="5"/>
        <item x="4"/>
        <item x="3"/>
        <item x="1"/>
        <item x="0"/>
        <item t="default"/>
      </items>
    </pivotField>
    <pivotField showAll="0"/>
    <pivotField showAll="0"/>
    <pivotField showAll="0">
      <items count="3">
        <item x="0"/>
        <item x="1"/>
        <item t="default"/>
      </items>
    </pivotField>
    <pivotField showAll="0"/>
    <pivotField showAll="0"/>
    <pivotField showAll="0"/>
    <pivotField showAll="0">
      <items count="3">
        <item x="1"/>
        <item x="0"/>
        <item t="default"/>
      </items>
    </pivotField>
    <pivotField showAll="0">
      <items count="4">
        <item x="0"/>
        <item x="1"/>
        <item x="2"/>
        <item t="default"/>
      </items>
    </pivotField>
    <pivotField showAll="0"/>
  </pivotFields>
  <rowFields count="1">
    <field x="3"/>
  </rowFields>
  <rowItems count="7">
    <i>
      <x/>
    </i>
    <i>
      <x v="1"/>
    </i>
    <i>
      <x v="2"/>
    </i>
    <i>
      <x v="3"/>
    </i>
    <i>
      <x v="4"/>
    </i>
    <i>
      <x v="5"/>
    </i>
    <i t="grand">
      <x/>
    </i>
  </rowItems>
  <colItems count="1">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6" cacheId="26" applyNumberFormats="0" applyBorderFormats="0" applyFontFormats="0" applyPatternFormats="0" applyAlignmentFormats="0" applyWidthHeightFormats="1" dataCaption="Values" tag="4b41b1dd-2740-4c6f-9261-87af40326d03" updatedVersion="5" minRefreshableVersion="3" useAutoFormatting="1" subtotalHiddenItems="1" itemPrintTitles="1" createdVersion="5" indent="0" outline="1" outlineData="1" multipleFieldFilters="0">
  <location ref="O8:O9" firstHeaderRow="1" firstDataRow="1" firstDataCol="0"/>
  <pivotFields count="1">
    <pivotField dataField="1" showAll="0"/>
  </pivotFields>
  <rowItems count="1">
    <i/>
  </rowItems>
  <colItems count="1">
    <i/>
  </colItems>
  <dataFields count="1">
    <dataField name="Average of Conversation Rate" fld="0" subtotal="average" baseField="0" baseItem="38923880" numFmtId="1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 Estate dataset with Coach Anietie.xlsx!Table2">
        <x15:activeTabTopLevelEntity name="[Table2]"/>
      </x15:pivotTableUISettings>
    </ext>
  </extLst>
</pivotTableDefinition>
</file>

<file path=xl/pivotTables/pivotTable9.xml><?xml version="1.0" encoding="utf-8"?>
<pivotTableDefinition xmlns="http://schemas.openxmlformats.org/spreadsheetml/2006/main" name="PivotTable2"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A3:AB6"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Product"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 Estate dataset with Coach Anietie.xlsx!Table2">
        <x15:activeTabTopLevelEntity name="[Table2]"/>
      </x15:pivotTableUISettings>
    </ext>
  </extLst>
</pivotTableDefinition>
</file>

<file path=xl/pivotTables/pivotTable10.xml><?xml version="1.0" encoding="utf-8"?>
<pivotTableDefinition xmlns="http://schemas.openxmlformats.org/spreadsheetml/2006/main" name="PivotTable9"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I3:J13" firstHeaderRow="1" firstDataRow="1" firstDataCol="1"/>
  <pivotFields count="13">
    <pivotField showAll="0"/>
    <pivotField showAll="0" defaultSubtotal="0">
      <items count="2">
        <item x="1"/>
        <item x="0"/>
      </items>
    </pivotField>
    <pivotField showAll="0"/>
    <pivotField showAll="0">
      <items count="7">
        <item x="2"/>
        <item x="5"/>
        <item x="4"/>
        <item x="3"/>
        <item x="1"/>
        <item x="0"/>
        <item t="default"/>
      </items>
    </pivotField>
    <pivotField showAll="0"/>
    <pivotField dataField="1" showAll="0">
      <items count="5">
        <item h="1" x="3"/>
        <item h="1" x="2"/>
        <item x="0"/>
        <item h="1" x="1"/>
        <item t="default"/>
      </items>
    </pivotField>
    <pivotField axis="axisRow" showAll="0">
      <items count="3">
        <item x="0"/>
        <item x="1"/>
        <item t="default"/>
      </items>
    </pivotField>
    <pivotField axis="axisRow" showAll="0">
      <items count="4">
        <item x="1"/>
        <item x="2"/>
        <item x="0"/>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showAll="0">
      <items count="4">
        <item x="0"/>
        <item x="1"/>
        <item x="2"/>
        <item t="default"/>
      </items>
    </pivotField>
    <pivotField showAll="0">
      <items count="3">
        <item x="0"/>
        <item x="1"/>
        <item t="default"/>
      </items>
    </pivotField>
  </pivotFields>
  <rowFields count="2">
    <field x="7"/>
    <field x="6"/>
  </rowFields>
  <rowItems count="10">
    <i>
      <x/>
    </i>
    <i r="1">
      <x/>
    </i>
    <i r="1">
      <x v="1"/>
    </i>
    <i>
      <x v="1"/>
    </i>
    <i r="1">
      <x/>
    </i>
    <i r="1">
      <x v="1"/>
    </i>
    <i>
      <x v="2"/>
    </i>
    <i r="1">
      <x/>
    </i>
    <i r="1">
      <x v="1"/>
    </i>
    <i t="grand">
      <x/>
    </i>
  </rowItems>
  <colItems count="1">
    <i/>
  </colItems>
  <dataFields count="1">
    <dataField name="Count of Sales" fld="5" subtotal="count" baseField="0" baseItem="0"/>
  </dataFields>
  <chartFormats count="4">
    <chartFormat chart="0" format="17" series="1">
      <pivotArea type="data" outline="0" fieldPosition="0">
        <references count="1">
          <reference field="4294967294" count="1" selected="0">
            <x v="0"/>
          </reference>
        </references>
      </pivotArea>
    </chartFormat>
    <chartFormat chart="3" format="19"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O3:P5" firstHeaderRow="1" firstDataRow="1" firstDataCol="1"/>
  <pivotFields count="13">
    <pivotField dataField="1" showAll="0"/>
    <pivotField showAll="0" defaultSubtotal="0"/>
    <pivotField showAll="0"/>
    <pivotField showAll="0">
      <items count="7">
        <item x="2"/>
        <item x="5"/>
        <item x="4"/>
        <item x="3"/>
        <item x="1"/>
        <item x="0"/>
        <item t="default"/>
      </items>
    </pivotField>
    <pivotField showAll="0"/>
    <pivotField showAll="0"/>
    <pivotField showAll="0">
      <items count="3">
        <item x="0"/>
        <item x="1"/>
        <item t="default"/>
      </items>
    </pivotField>
    <pivotField showAll="0"/>
    <pivotField showAll="0"/>
    <pivotField axis="axisRow" showAll="0">
      <items count="3">
        <item x="0"/>
        <item h="1" x="1"/>
        <item t="default"/>
      </items>
    </pivotField>
    <pivotField showAll="0">
      <items count="3">
        <item x="1"/>
        <item x="0"/>
        <item t="default"/>
      </items>
    </pivotField>
    <pivotField showAll="0">
      <items count="4">
        <item x="0"/>
        <item x="1"/>
        <item x="2"/>
        <item t="default"/>
      </items>
    </pivotField>
    <pivotField showAll="0"/>
  </pivotFields>
  <rowFields count="1">
    <field x="9"/>
  </rowFields>
  <rowItems count="2">
    <i>
      <x/>
    </i>
    <i t="grand">
      <x/>
    </i>
  </rowItems>
  <colItems count="1">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
  <pivotTables>
    <pivotTable tabId="6" name="PivotTable7"/>
    <pivotTable tabId="6" name="PivotTable10"/>
    <pivotTable tabId="6" name="PivotTable11"/>
    <pivotTable tabId="6" name="PivotTable12"/>
    <pivotTable tabId="6" name="PivotTable6"/>
    <pivotTable tabId="6" name="PivotTable8"/>
    <pivotTable tabId="6" name="PivotTable9"/>
  </pivotTables>
  <data>
    <tabular pivotCacheId="1">
      <items count="6">
        <i x="2" s="1"/>
        <i x="5"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_Icons" sourceName="Gender Icons">
  <pivotTables>
    <pivotTable tabId="6" name="PivotTable7"/>
    <pivotTable tabId="6" name="PivotTable10"/>
    <pivotTable tabId="6" name="PivotTable11"/>
    <pivotTable tabId="6" name="PivotTable12"/>
    <pivotTable tabId="6" name="PivotTable6"/>
    <pivotTable tabId="6" name="PivotTable8"/>
    <pivotTable tabId="6" name="PivotTable9"/>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spection_Icon" sourceName="[Table2].[Inspection Icon]">
  <pivotTables>
    <pivotTable tabId="6" name="PivotTable2"/>
  </pivotTables>
  <data>
    <olap pivotCacheId="2">
      <levels count="2">
        <level uniqueName="[Table2].[Inspection Icon].[(All)]" sourceCaption="(All)" count="0"/>
        <level uniqueName="[Table2].[Inspection Icon].[Inspection Icon]" sourceCaption="Inspection Icon" count="2">
          <ranges>
            <range startItem="0">
              <i n="[Table2].[Inspection Icon].&amp;[❌]" c="❌"/>
              <i n="[Table2].[Inspection Icon].&amp;[✅]" c="✅"/>
            </range>
          </ranges>
        </level>
      </levels>
      <selections count="1">
        <selection n="[Table2].[Inspection Ic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Icon" sourceName="Product Icon">
  <pivotTables>
    <pivotTable tabId="6" name="PivotTable9"/>
    <pivotTable tabId="6" name="PivotTable10"/>
    <pivotTable tabId="6" name="PivotTable11"/>
    <pivotTable tabId="6" name="PivotTable12"/>
    <pivotTable tabId="6" name="PivotTable6"/>
    <pivotTable tabId="6" name="PivotTable7"/>
    <pivotTable tabId="6" name="PivotTable8"/>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ate" sourceName="State       ">
  <pivotTables>
    <pivotTable tabId="6" name="PivotTable7"/>
    <pivotTable tabId="6" name="PivotTable10"/>
    <pivotTable tabId="6" name="PivotTable11"/>
    <pivotTable tabId="6" name="PivotTable12"/>
    <pivotTable tabId="6" name="PivotTable6"/>
    <pivotTable tabId="6" name="PivotTable8"/>
    <pivotTable tabId="6" name="PivotTable9"/>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 cache="Slicer_Sales_Person" caption="Sales Person " showCaption="0" style="Slicer Style 1" rowHeight="241300"/>
  <slicer name="Gender Icons 1" cache="Slicer_Gender_Icons" caption="Gender Icons" showCaption="0" style="Slicer Style 2" rowHeight="241300"/>
  <slicer name="Inspection Icon" cache="Slicer_Inspection_Icon" caption="Inspection Icon" showCaption="0" level="1" style="Slicer Style 2" rowHeight="241300"/>
  <slicer name="Product Icon" cache="Slicer_Product_Icon" caption="Product Icon" startItem="1" showCaption="0" style="Slicer Style 2" rowHeight="241300"/>
  <slicer name="State       " cache="Slicer_State" caption="State       " showCaption="0" style="Slicer Style 2" rowHeight="241300"/>
</slicers>
</file>

<file path=xl/tables/table1.xml><?xml version="1.0" encoding="utf-8"?>
<table xmlns="http://schemas.openxmlformats.org/spreadsheetml/2006/main" id="2" name="Table2" displayName="Table2" ref="A1:M226" totalsRowShown="0">
  <autoFilter ref="A1:M226"/>
  <tableColumns count="13">
    <tableColumn id="1" name="Client ID"/>
    <tableColumn id="13" name="Clients" dataDxfId="0">
      <calculatedColumnFormula>IF(F2="paid", 1,0)</calculatedColumnFormula>
    </tableColumn>
    <tableColumn id="2" name="Client Gender "/>
    <tableColumn id="3" name="Sales Person "/>
    <tableColumn id="4" name="Date Given "/>
    <tableColumn id="5" name="Sales"/>
    <tableColumn id="6" name="State       "/>
    <tableColumn id="7" name="Product"/>
    <tableColumn id="8" name="Inspection"/>
    <tableColumn id="9" name="Status"/>
    <tableColumn id="10" name="Gender Icons"/>
    <tableColumn id="11" name="Product Icon"/>
    <tableColumn id="12" name="Inspection Ico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B13"/>
  <sheetViews>
    <sheetView topLeftCell="I1" workbookViewId="0">
      <selection activeCell="AA3" sqref="AA3"/>
    </sheetView>
  </sheetViews>
  <sheetFormatPr defaultRowHeight="14.25"/>
  <cols>
    <col min="1" max="1" width="16.75" bestFit="1" customWidth="1"/>
    <col min="3" max="3" width="13.125" customWidth="1"/>
    <col min="4" max="4" width="22.375" bestFit="1" customWidth="1"/>
    <col min="6" max="6" width="13.125" bestFit="1" customWidth="1"/>
    <col min="7" max="7" width="16.75" bestFit="1" customWidth="1"/>
    <col min="9" max="9" width="13.125" customWidth="1"/>
    <col min="10" max="10" width="14" customWidth="1"/>
    <col min="11" max="11" width="17.375" customWidth="1"/>
    <col min="12" max="12" width="13.125" bestFit="1" customWidth="1"/>
    <col min="13" max="13" width="16.125" bestFit="1" customWidth="1"/>
    <col min="15" max="15" width="13.125" customWidth="1"/>
    <col min="16" max="16" width="16.75" customWidth="1"/>
    <col min="18" max="18" width="13.125" customWidth="1"/>
    <col min="19" max="19" width="16.75" bestFit="1" customWidth="1"/>
    <col min="22" max="22" width="13.125" bestFit="1" customWidth="1"/>
    <col min="23" max="23" width="16.75" customWidth="1"/>
    <col min="24" max="24" width="13.875" customWidth="1"/>
    <col min="27" max="27" width="13.125" customWidth="1"/>
    <col min="28" max="28" width="16.125" customWidth="1"/>
    <col min="29" max="29" width="22.875" bestFit="1" customWidth="1"/>
  </cols>
  <sheetData>
    <row r="3" spans="1:28">
      <c r="A3" t="s">
        <v>266</v>
      </c>
      <c r="C3" s="1" t="s">
        <v>264</v>
      </c>
      <c r="D3" t="s">
        <v>267</v>
      </c>
      <c r="F3" s="1" t="s">
        <v>264</v>
      </c>
      <c r="G3" t="s">
        <v>266</v>
      </c>
      <c r="I3" s="1" t="s">
        <v>264</v>
      </c>
      <c r="J3" t="s">
        <v>268</v>
      </c>
      <c r="L3" s="1" t="s">
        <v>264</v>
      </c>
      <c r="M3" t="s">
        <v>269</v>
      </c>
      <c r="O3" s="1" t="s">
        <v>264</v>
      </c>
      <c r="P3" t="s">
        <v>266</v>
      </c>
      <c r="R3" s="1" t="s">
        <v>264</v>
      </c>
      <c r="S3" t="s">
        <v>266</v>
      </c>
      <c r="V3" s="1" t="s">
        <v>264</v>
      </c>
      <c r="W3" t="s">
        <v>266</v>
      </c>
      <c r="X3" t="s">
        <v>278</v>
      </c>
      <c r="AA3" s="1" t="s">
        <v>264</v>
      </c>
      <c r="AB3" t="s">
        <v>269</v>
      </c>
    </row>
    <row r="4" spans="1:28">
      <c r="A4" s="3">
        <v>225</v>
      </c>
      <c r="C4" s="2" t="s">
        <v>13</v>
      </c>
      <c r="D4" s="3">
        <v>124</v>
      </c>
      <c r="F4" s="2" t="s">
        <v>33</v>
      </c>
      <c r="G4" s="3">
        <v>22</v>
      </c>
      <c r="I4" s="2" t="s">
        <v>26</v>
      </c>
      <c r="J4" s="3">
        <v>104</v>
      </c>
      <c r="L4" s="2" t="s">
        <v>16</v>
      </c>
      <c r="M4" s="3">
        <v>132</v>
      </c>
      <c r="O4" s="2" t="s">
        <v>15</v>
      </c>
      <c r="P4" s="3">
        <v>100</v>
      </c>
      <c r="R4" s="2" t="s">
        <v>28</v>
      </c>
      <c r="S4" s="3">
        <v>125</v>
      </c>
      <c r="V4" s="2" t="s">
        <v>33</v>
      </c>
      <c r="W4" s="3">
        <v>22</v>
      </c>
      <c r="X4" s="3">
        <v>5</v>
      </c>
      <c r="AA4" s="2" t="s">
        <v>27</v>
      </c>
      <c r="AB4" s="3">
        <v>54</v>
      </c>
    </row>
    <row r="5" spans="1:28">
      <c r="C5" s="2" t="s">
        <v>23</v>
      </c>
      <c r="D5" s="3">
        <v>101</v>
      </c>
      <c r="F5" s="2" t="s">
        <v>42</v>
      </c>
      <c r="G5" s="3">
        <v>48</v>
      </c>
      <c r="I5" s="9" t="s">
        <v>16</v>
      </c>
      <c r="J5" s="3">
        <v>35</v>
      </c>
      <c r="L5" s="2" t="s">
        <v>35</v>
      </c>
      <c r="M5" s="3">
        <v>93</v>
      </c>
      <c r="O5" s="2" t="s">
        <v>265</v>
      </c>
      <c r="P5" s="3">
        <v>100</v>
      </c>
      <c r="R5" s="2" t="s">
        <v>265</v>
      </c>
      <c r="S5" s="3">
        <v>125</v>
      </c>
      <c r="V5" s="2" t="s">
        <v>42</v>
      </c>
      <c r="W5" s="3">
        <v>48</v>
      </c>
      <c r="X5" s="3">
        <v>20</v>
      </c>
      <c r="AA5" s="2" t="s">
        <v>18</v>
      </c>
      <c r="AB5" s="3">
        <v>171</v>
      </c>
    </row>
    <row r="6" spans="1:28">
      <c r="C6" s="2" t="s">
        <v>265</v>
      </c>
      <c r="D6" s="3">
        <v>225</v>
      </c>
      <c r="F6" s="2" t="s">
        <v>40</v>
      </c>
      <c r="G6" s="3">
        <v>43</v>
      </c>
      <c r="I6" s="9" t="s">
        <v>35</v>
      </c>
      <c r="J6" s="3">
        <v>69</v>
      </c>
      <c r="L6" s="2" t="s">
        <v>265</v>
      </c>
      <c r="M6" s="3">
        <v>225</v>
      </c>
      <c r="V6" s="2" t="s">
        <v>40</v>
      </c>
      <c r="W6" s="3">
        <v>43</v>
      </c>
      <c r="X6" s="3">
        <v>18</v>
      </c>
      <c r="AA6" s="2" t="s">
        <v>265</v>
      </c>
      <c r="AB6" s="3">
        <v>225</v>
      </c>
    </row>
    <row r="7" spans="1:28">
      <c r="F7" s="2" t="s">
        <v>37</v>
      </c>
      <c r="G7" s="3">
        <v>49</v>
      </c>
      <c r="I7" s="2" t="s">
        <v>46</v>
      </c>
      <c r="J7" s="3">
        <v>22</v>
      </c>
      <c r="V7" s="2" t="s">
        <v>37</v>
      </c>
      <c r="W7" s="3">
        <v>49</v>
      </c>
      <c r="X7" s="3">
        <v>28</v>
      </c>
    </row>
    <row r="8" spans="1:28">
      <c r="F8" s="2" t="s">
        <v>24</v>
      </c>
      <c r="G8" s="3">
        <v>21</v>
      </c>
      <c r="I8" s="9" t="s">
        <v>16</v>
      </c>
      <c r="J8" s="3">
        <v>16</v>
      </c>
      <c r="O8" t="s">
        <v>277</v>
      </c>
      <c r="V8" s="2" t="s">
        <v>24</v>
      </c>
      <c r="W8" s="3">
        <v>21</v>
      </c>
      <c r="X8" s="3">
        <v>15</v>
      </c>
    </row>
    <row r="9" spans="1:28">
      <c r="F9" s="2" t="s">
        <v>14</v>
      </c>
      <c r="G9" s="3">
        <v>42</v>
      </c>
      <c r="I9" s="9" t="s">
        <v>35</v>
      </c>
      <c r="J9" s="3">
        <v>6</v>
      </c>
      <c r="O9" s="4">
        <v>0.44444444444444442</v>
      </c>
      <c r="V9" s="2" t="s">
        <v>14</v>
      </c>
      <c r="W9" s="3">
        <v>42</v>
      </c>
      <c r="X9" s="3">
        <v>14</v>
      </c>
    </row>
    <row r="10" spans="1:28">
      <c r="F10" s="2" t="s">
        <v>265</v>
      </c>
      <c r="G10" s="3">
        <v>225</v>
      </c>
      <c r="I10" s="2" t="s">
        <v>17</v>
      </c>
      <c r="J10" s="3">
        <v>99</v>
      </c>
      <c r="V10" s="2" t="s">
        <v>265</v>
      </c>
      <c r="W10" s="3">
        <v>225</v>
      </c>
      <c r="X10" s="3">
        <v>100</v>
      </c>
    </row>
    <row r="11" spans="1:28">
      <c r="I11" s="9" t="s">
        <v>16</v>
      </c>
      <c r="J11" s="3">
        <v>81</v>
      </c>
    </row>
    <row r="12" spans="1:28">
      <c r="I12" s="9" t="s">
        <v>35</v>
      </c>
      <c r="J12" s="3">
        <v>18</v>
      </c>
      <c r="O12" t="s">
        <v>278</v>
      </c>
    </row>
    <row r="13" spans="1:28">
      <c r="I13" s="2" t="s">
        <v>265</v>
      </c>
      <c r="J13" s="3">
        <v>225</v>
      </c>
      <c r="O13" s="3">
        <v>100</v>
      </c>
    </row>
  </sheetData>
  <sortState ref="V3:X10">
    <sortCondition ref="W3"/>
  </sortState>
  <pageMargins left="0.7" right="0.7" top="0.75" bottom="0.75" header="0.3" footer="0.3"/>
  <pageSetup paperSize="9" orientation="portrait" verticalDpi="0"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6"/>
  <sheetViews>
    <sheetView tabSelected="1" topLeftCell="A7" zoomScale="90" zoomScaleNormal="90" workbookViewId="0">
      <selection activeCell="K22" sqref="K22"/>
    </sheetView>
  </sheetViews>
  <sheetFormatPr defaultColWidth="0" defaultRowHeight="14.25" zeroHeight="1"/>
  <cols>
    <col min="1" max="1" width="2.125" style="5" customWidth="1"/>
    <col min="2" max="4" width="9" style="6" customWidth="1"/>
    <col min="5" max="5" width="2.125" style="5" customWidth="1"/>
    <col min="6" max="8" width="9" style="6" customWidth="1"/>
    <col min="9" max="9" width="2.125" style="5" customWidth="1"/>
    <col min="10" max="12" width="9" style="6" customWidth="1"/>
    <col min="13" max="13" width="2.125" style="5" customWidth="1"/>
    <col min="14" max="18" width="9" style="6" customWidth="1"/>
    <col min="19" max="19" width="2.125" style="5" customWidth="1"/>
    <col min="20" max="16384" width="9" style="6" hidden="1"/>
  </cols>
  <sheetData>
    <row r="1" spans="2:18" s="5" customFormat="1" ht="12" customHeight="1"/>
    <row r="2" spans="2:18">
      <c r="F2" s="15" t="s">
        <v>281</v>
      </c>
      <c r="G2" s="15"/>
      <c r="H2" s="15"/>
      <c r="I2" s="15"/>
      <c r="J2" s="15"/>
      <c r="K2" s="15"/>
      <c r="L2" s="15"/>
      <c r="M2" s="15"/>
      <c r="N2" s="15"/>
      <c r="O2" s="15"/>
      <c r="P2" s="15"/>
      <c r="Q2" s="15"/>
      <c r="R2" s="15"/>
    </row>
    <row r="3" spans="2:18">
      <c r="F3" s="15"/>
      <c r="G3" s="15"/>
      <c r="H3" s="15"/>
      <c r="I3" s="15"/>
      <c r="J3" s="15"/>
      <c r="K3" s="15"/>
      <c r="L3" s="15"/>
      <c r="M3" s="15"/>
      <c r="N3" s="15"/>
      <c r="O3" s="15"/>
      <c r="P3" s="15"/>
      <c r="Q3" s="15"/>
      <c r="R3" s="15"/>
    </row>
    <row r="4" spans="2:18" ht="18">
      <c r="C4" s="13" t="s">
        <v>279</v>
      </c>
      <c r="F4" s="15"/>
      <c r="G4" s="15"/>
      <c r="H4" s="15"/>
      <c r="I4" s="15"/>
      <c r="J4" s="15"/>
      <c r="K4" s="15"/>
      <c r="L4" s="15"/>
      <c r="M4" s="15"/>
      <c r="N4" s="15"/>
      <c r="O4" s="15"/>
      <c r="P4" s="15"/>
      <c r="Q4" s="15"/>
      <c r="R4" s="15"/>
    </row>
    <row r="5" spans="2:18">
      <c r="C5" s="10" t="s">
        <v>280</v>
      </c>
      <c r="F5" s="15"/>
      <c r="G5" s="15"/>
      <c r="H5" s="15"/>
      <c r="I5" s="15"/>
      <c r="J5" s="15"/>
      <c r="K5" s="15"/>
      <c r="L5" s="15"/>
      <c r="M5" s="15"/>
      <c r="N5" s="15"/>
      <c r="O5" s="15"/>
      <c r="P5" s="15"/>
      <c r="Q5" s="15"/>
      <c r="R5" s="15"/>
    </row>
    <row r="6" spans="2:18">
      <c r="F6" s="15"/>
      <c r="G6" s="15"/>
      <c r="H6" s="15"/>
      <c r="I6" s="15"/>
      <c r="J6" s="15"/>
      <c r="K6" s="15"/>
      <c r="L6" s="15"/>
      <c r="M6" s="15"/>
      <c r="N6" s="15"/>
      <c r="O6" s="15"/>
      <c r="P6" s="15"/>
      <c r="Q6" s="15"/>
      <c r="R6" s="15"/>
    </row>
    <row r="7" spans="2:18">
      <c r="F7" s="15"/>
      <c r="G7" s="15"/>
      <c r="H7" s="15"/>
      <c r="I7" s="15"/>
      <c r="J7" s="15"/>
      <c r="K7" s="15"/>
      <c r="L7" s="15"/>
      <c r="M7" s="15"/>
      <c r="N7" s="15"/>
      <c r="O7" s="15"/>
      <c r="P7" s="15"/>
      <c r="Q7" s="15"/>
      <c r="R7" s="15"/>
    </row>
    <row r="8" spans="2:18" s="5" customFormat="1" ht="12" customHeight="1"/>
    <row r="9" spans="2:18">
      <c r="B9" s="6" t="s">
        <v>270</v>
      </c>
      <c r="N9" s="6" t="s">
        <v>272</v>
      </c>
    </row>
    <row r="10" spans="2:18">
      <c r="B10" s="14"/>
      <c r="C10" s="14"/>
      <c r="D10" s="14"/>
      <c r="F10" s="6" t="s">
        <v>284</v>
      </c>
      <c r="J10" s="6" t="s">
        <v>283</v>
      </c>
      <c r="N10" s="14"/>
      <c r="O10" s="14"/>
      <c r="P10" s="14"/>
      <c r="Q10" s="14"/>
      <c r="R10" s="14"/>
    </row>
    <row r="11" spans="2:18" ht="20.25">
      <c r="B11" s="14"/>
      <c r="C11" s="14"/>
      <c r="D11" s="14"/>
      <c r="F11" s="8"/>
      <c r="J11" s="12"/>
      <c r="N11" s="14"/>
      <c r="O11" s="14"/>
      <c r="P11" s="14"/>
      <c r="Q11" s="14"/>
      <c r="R11" s="14"/>
    </row>
    <row r="12" spans="2:18" ht="20.25">
      <c r="B12" s="14"/>
      <c r="C12" s="14"/>
      <c r="D12" s="14"/>
      <c r="F12" s="8">
        <f>GETPIVOTDATA("Client ID",Sheet5!$A$3)</f>
        <v>225</v>
      </c>
      <c r="J12" s="11">
        <f>GETPIVOTDATA("[Measures].[Sum of Clients]",Sheet5!$O$12)</f>
        <v>100</v>
      </c>
      <c r="N12" s="14"/>
      <c r="O12" s="14"/>
      <c r="P12" s="14"/>
      <c r="Q12" s="14"/>
      <c r="R12" s="14"/>
    </row>
    <row r="13" spans="2:18">
      <c r="B13" s="14"/>
      <c r="C13" s="14"/>
      <c r="D13" s="14"/>
      <c r="N13" s="14"/>
      <c r="O13" s="14"/>
      <c r="P13" s="14"/>
      <c r="Q13" s="14"/>
      <c r="R13" s="14"/>
    </row>
    <row r="14" spans="2:18">
      <c r="B14" s="14"/>
      <c r="C14" s="14"/>
      <c r="D14" s="14"/>
      <c r="N14" s="14"/>
      <c r="O14" s="14"/>
      <c r="P14" s="14"/>
      <c r="Q14" s="14"/>
      <c r="R14" s="14"/>
    </row>
    <row r="15" spans="2:18" s="5" customFormat="1" ht="12" customHeight="1">
      <c r="B15" s="14"/>
      <c r="C15" s="14"/>
      <c r="D15" s="14"/>
      <c r="N15" s="14"/>
      <c r="O15" s="14"/>
      <c r="P15" s="14"/>
      <c r="Q15" s="14"/>
      <c r="R15" s="14"/>
    </row>
    <row r="16" spans="2:18">
      <c r="B16" s="14"/>
      <c r="C16" s="14"/>
      <c r="D16" s="14"/>
      <c r="N16" s="14"/>
      <c r="O16" s="14"/>
      <c r="P16" s="14"/>
      <c r="Q16" s="14"/>
      <c r="R16" s="14"/>
    </row>
    <row r="17" spans="2:18">
      <c r="B17" s="14"/>
      <c r="C17" s="14"/>
      <c r="D17" s="14"/>
      <c r="F17" s="6" t="s">
        <v>273</v>
      </c>
      <c r="J17" s="6" t="s">
        <v>282</v>
      </c>
      <c r="N17" s="14"/>
      <c r="O17" s="14"/>
      <c r="P17" s="14"/>
      <c r="Q17" s="14"/>
      <c r="R17" s="14"/>
    </row>
    <row r="18" spans="2:18">
      <c r="B18" s="14"/>
      <c r="C18" s="14"/>
      <c r="D18" s="14"/>
      <c r="N18" s="14"/>
      <c r="O18" s="14"/>
      <c r="P18" s="14"/>
      <c r="Q18" s="14"/>
      <c r="R18" s="14"/>
    </row>
    <row r="19" spans="2:18" ht="20.25">
      <c r="B19" s="14"/>
      <c r="C19" s="14"/>
      <c r="D19" s="14"/>
      <c r="F19" s="7">
        <f>GETPIVOTDATA("[Measures].[Average of Conversation Rate]",Sheet5!$O$8)</f>
        <v>0.44444444444444442</v>
      </c>
      <c r="J19" s="8">
        <f>GETPIVOTDATA("Client ID",Sheet5!$R$3)</f>
        <v>125</v>
      </c>
      <c r="N19" s="14"/>
      <c r="O19" s="14"/>
      <c r="P19" s="14"/>
      <c r="Q19" s="14"/>
      <c r="R19" s="14"/>
    </row>
    <row r="20" spans="2:18">
      <c r="B20" s="14"/>
      <c r="C20" s="14"/>
      <c r="D20" s="14"/>
      <c r="N20" s="14"/>
      <c r="O20" s="14"/>
      <c r="P20" s="14"/>
      <c r="Q20" s="14"/>
      <c r="R20" s="14"/>
    </row>
    <row r="21" spans="2:18">
      <c r="B21" s="14"/>
      <c r="C21" s="14"/>
      <c r="D21" s="14"/>
      <c r="N21" s="14"/>
      <c r="O21" s="14"/>
      <c r="P21" s="14"/>
      <c r="Q21" s="14"/>
      <c r="R21" s="14"/>
    </row>
    <row r="22" spans="2:18" s="5" customFormat="1" ht="12" customHeight="1"/>
    <row r="23" spans="2:18"/>
    <row r="24" spans="2:18">
      <c r="B24" s="6" t="s">
        <v>275</v>
      </c>
      <c r="F24" s="6" t="s">
        <v>7</v>
      </c>
      <c r="J24" s="6" t="s">
        <v>274</v>
      </c>
      <c r="N24" s="6" t="s">
        <v>276</v>
      </c>
    </row>
    <row r="25" spans="2:18">
      <c r="B25" s="14"/>
      <c r="C25" s="14"/>
      <c r="D25" s="14"/>
      <c r="F25" s="14"/>
      <c r="G25" s="14"/>
      <c r="H25" s="14"/>
      <c r="J25" s="14"/>
      <c r="K25" s="14"/>
      <c r="L25" s="14"/>
      <c r="N25" s="14"/>
      <c r="O25" s="14"/>
      <c r="P25" s="14"/>
      <c r="Q25" s="14"/>
      <c r="R25" s="14"/>
    </row>
    <row r="26" spans="2:18">
      <c r="B26" s="14"/>
      <c r="C26" s="14"/>
      <c r="D26" s="14"/>
      <c r="F26" s="14"/>
      <c r="G26" s="14"/>
      <c r="H26" s="14"/>
      <c r="J26" s="14"/>
      <c r="K26" s="14"/>
      <c r="L26" s="14"/>
      <c r="N26" s="14"/>
      <c r="O26" s="14"/>
      <c r="P26" s="14"/>
      <c r="Q26" s="14"/>
      <c r="R26" s="14"/>
    </row>
    <row r="27" spans="2:18">
      <c r="B27" s="14"/>
      <c r="C27" s="14"/>
      <c r="D27" s="14"/>
      <c r="F27" s="14"/>
      <c r="G27" s="14"/>
      <c r="H27" s="14"/>
      <c r="J27" s="14"/>
      <c r="K27" s="14"/>
      <c r="L27" s="14"/>
      <c r="N27" s="14"/>
      <c r="O27" s="14"/>
      <c r="P27" s="14"/>
      <c r="Q27" s="14"/>
      <c r="R27" s="14"/>
    </row>
    <row r="28" spans="2:18">
      <c r="B28" s="14"/>
      <c r="C28" s="14"/>
      <c r="D28" s="14"/>
      <c r="F28" s="14"/>
      <c r="G28" s="14"/>
      <c r="H28" s="14"/>
      <c r="J28" s="14"/>
      <c r="K28" s="14"/>
      <c r="L28" s="14"/>
      <c r="N28" s="14"/>
      <c r="O28" s="14"/>
      <c r="P28" s="14"/>
      <c r="Q28" s="14"/>
      <c r="R28" s="14"/>
    </row>
    <row r="29" spans="2:18" s="5" customFormat="1" ht="12" customHeight="1">
      <c r="B29" s="14"/>
      <c r="C29" s="14"/>
      <c r="D29" s="14"/>
      <c r="F29" s="14"/>
      <c r="G29" s="14"/>
      <c r="H29" s="14"/>
      <c r="J29" s="14"/>
      <c r="K29" s="14"/>
      <c r="L29" s="14"/>
      <c r="N29" s="14"/>
      <c r="O29" s="14"/>
      <c r="P29" s="14"/>
      <c r="Q29" s="14"/>
      <c r="R29" s="14"/>
    </row>
    <row r="30" spans="2:18">
      <c r="B30" s="14"/>
      <c r="C30" s="14"/>
      <c r="D30" s="14"/>
      <c r="F30" s="14"/>
      <c r="G30" s="14"/>
      <c r="H30" s="14"/>
      <c r="J30" s="14"/>
      <c r="K30" s="14"/>
      <c r="L30" s="14"/>
      <c r="N30" s="14"/>
      <c r="O30" s="14"/>
      <c r="P30" s="14"/>
      <c r="Q30" s="14"/>
      <c r="R30" s="14"/>
    </row>
    <row r="31" spans="2:18">
      <c r="B31" s="14"/>
      <c r="C31" s="14"/>
      <c r="D31" s="14"/>
      <c r="F31" s="14"/>
      <c r="G31" s="14"/>
      <c r="H31" s="14"/>
      <c r="J31" s="14"/>
      <c r="K31" s="14"/>
      <c r="L31" s="14"/>
      <c r="N31" s="14"/>
      <c r="O31" s="14"/>
      <c r="P31" s="14"/>
      <c r="Q31" s="14"/>
      <c r="R31" s="14"/>
    </row>
    <row r="32" spans="2:18">
      <c r="B32" s="14"/>
      <c r="C32" s="14"/>
      <c r="D32" s="14"/>
      <c r="F32" s="14"/>
      <c r="G32" s="14"/>
      <c r="H32" s="14"/>
      <c r="J32" s="14"/>
      <c r="K32" s="14"/>
      <c r="L32" s="14"/>
      <c r="N32" s="14"/>
      <c r="O32" s="14"/>
      <c r="P32" s="14"/>
      <c r="Q32" s="14"/>
      <c r="R32" s="14"/>
    </row>
    <row r="33" spans="2:18">
      <c r="B33" s="14"/>
      <c r="C33" s="14"/>
      <c r="D33" s="14"/>
      <c r="F33" s="14"/>
      <c r="G33" s="14"/>
      <c r="H33" s="14"/>
      <c r="J33" s="14"/>
      <c r="K33" s="14"/>
      <c r="L33" s="14"/>
      <c r="N33" s="14"/>
      <c r="O33" s="14"/>
      <c r="P33" s="14"/>
      <c r="Q33" s="14"/>
      <c r="R33" s="14"/>
    </row>
    <row r="34" spans="2:18">
      <c r="B34" s="14"/>
      <c r="C34" s="14"/>
      <c r="D34" s="14"/>
      <c r="F34" s="14"/>
      <c r="G34" s="14"/>
      <c r="H34" s="14"/>
      <c r="J34" s="14"/>
      <c r="K34" s="14"/>
      <c r="L34" s="14"/>
      <c r="N34" s="14"/>
      <c r="O34" s="14"/>
      <c r="P34" s="14"/>
      <c r="Q34" s="14"/>
      <c r="R34" s="14"/>
    </row>
    <row r="35" spans="2:18">
      <c r="B35" s="14"/>
      <c r="C35" s="14"/>
      <c r="D35" s="14"/>
      <c r="F35" s="14"/>
      <c r="G35" s="14"/>
      <c r="H35" s="14"/>
      <c r="J35" s="14"/>
      <c r="K35" s="14"/>
      <c r="L35" s="14"/>
      <c r="N35" s="14"/>
      <c r="O35" s="14"/>
      <c r="P35" s="14"/>
      <c r="Q35" s="14"/>
      <c r="R35" s="14"/>
    </row>
    <row r="36" spans="2:18" s="5" customFormat="1" ht="12" customHeight="1"/>
  </sheetData>
  <mergeCells count="7">
    <mergeCell ref="B25:D35"/>
    <mergeCell ref="B10:D21"/>
    <mergeCell ref="F2:R7"/>
    <mergeCell ref="N10:R21"/>
    <mergeCell ref="N25:R35"/>
    <mergeCell ref="J25:L35"/>
    <mergeCell ref="F25:H35"/>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6"/>
  <sheetViews>
    <sheetView topLeftCell="A2" workbookViewId="0">
      <selection activeCell="C2" sqref="C2"/>
    </sheetView>
  </sheetViews>
  <sheetFormatPr defaultRowHeight="14.25"/>
  <cols>
    <col min="1" max="1" width="9.5" customWidth="1"/>
    <col min="2" max="3" width="14" customWidth="1"/>
    <col min="4" max="4" width="13.25" customWidth="1"/>
    <col min="5" max="5" width="11.625" customWidth="1"/>
    <col min="7" max="7" width="9.125" customWidth="1"/>
    <col min="9" max="9" width="11" customWidth="1"/>
    <col min="11" max="11" width="13.25" customWidth="1"/>
    <col min="12" max="12" width="12.625" customWidth="1"/>
    <col min="13" max="13" width="14.75" customWidth="1"/>
  </cols>
  <sheetData>
    <row r="1" spans="1:13">
      <c r="A1" t="s">
        <v>0</v>
      </c>
      <c r="B1" t="s">
        <v>271</v>
      </c>
      <c r="C1" t="s">
        <v>1</v>
      </c>
      <c r="D1" t="s">
        <v>2</v>
      </c>
      <c r="E1" t="s">
        <v>3</v>
      </c>
      <c r="F1" t="s">
        <v>4</v>
      </c>
      <c r="G1" t="s">
        <v>5</v>
      </c>
      <c r="H1" t="s">
        <v>6</v>
      </c>
      <c r="I1" t="s">
        <v>7</v>
      </c>
      <c r="J1" t="s">
        <v>8</v>
      </c>
      <c r="K1" t="s">
        <v>9</v>
      </c>
      <c r="L1" t="s">
        <v>10</v>
      </c>
      <c r="M1" t="s">
        <v>11</v>
      </c>
    </row>
    <row r="2" spans="1:13">
      <c r="A2" t="s">
        <v>12</v>
      </c>
      <c r="B2">
        <f>IF(F2="paid", 1,0)</f>
        <v>1</v>
      </c>
      <c r="C2" t="s">
        <v>13</v>
      </c>
      <c r="D2" t="s">
        <v>14</v>
      </c>
      <c r="E2">
        <v>45139</v>
      </c>
      <c r="F2" t="s">
        <v>15</v>
      </c>
      <c r="G2" t="s">
        <v>16</v>
      </c>
      <c r="H2" t="s">
        <v>17</v>
      </c>
      <c r="I2" t="s">
        <v>18</v>
      </c>
      <c r="J2" t="s">
        <v>15</v>
      </c>
      <c r="K2" t="s">
        <v>19</v>
      </c>
      <c r="L2" t="s">
        <v>20</v>
      </c>
      <c r="M2" t="s">
        <v>21</v>
      </c>
    </row>
    <row r="3" spans="1:13">
      <c r="A3" t="s">
        <v>22</v>
      </c>
      <c r="B3">
        <f t="shared" ref="B3:B65" si="0">IF(F3="paid", 1,0)</f>
        <v>0</v>
      </c>
      <c r="C3" t="s">
        <v>23</v>
      </c>
      <c r="D3" t="s">
        <v>24</v>
      </c>
      <c r="E3">
        <v>45140</v>
      </c>
      <c r="F3" t="s">
        <v>25</v>
      </c>
      <c r="G3" t="s">
        <v>16</v>
      </c>
      <c r="H3" t="s">
        <v>26</v>
      </c>
      <c r="I3" t="s">
        <v>27</v>
      </c>
      <c r="J3" t="s">
        <v>28</v>
      </c>
      <c r="K3" t="s">
        <v>29</v>
      </c>
      <c r="L3" t="s">
        <v>30</v>
      </c>
      <c r="M3" t="s">
        <v>31</v>
      </c>
    </row>
    <row r="4" spans="1:13">
      <c r="A4" t="s">
        <v>32</v>
      </c>
      <c r="B4">
        <f t="shared" si="0"/>
        <v>0</v>
      </c>
      <c r="C4" t="s">
        <v>13</v>
      </c>
      <c r="D4" t="s">
        <v>33</v>
      </c>
      <c r="E4">
        <v>45141</v>
      </c>
      <c r="F4" t="s">
        <v>34</v>
      </c>
      <c r="G4" t="s">
        <v>35</v>
      </c>
      <c r="H4" t="s">
        <v>26</v>
      </c>
      <c r="I4" t="s">
        <v>18</v>
      </c>
      <c r="J4" t="s">
        <v>28</v>
      </c>
      <c r="K4" t="s">
        <v>19</v>
      </c>
      <c r="L4" t="s">
        <v>30</v>
      </c>
      <c r="M4" t="s">
        <v>21</v>
      </c>
    </row>
    <row r="5" spans="1:13">
      <c r="A5" t="s">
        <v>36</v>
      </c>
      <c r="B5">
        <f t="shared" si="0"/>
        <v>0</v>
      </c>
      <c r="C5" t="s">
        <v>13</v>
      </c>
      <c r="D5" t="s">
        <v>37</v>
      </c>
      <c r="E5">
        <v>45142</v>
      </c>
      <c r="F5" t="s">
        <v>38</v>
      </c>
      <c r="G5" t="s">
        <v>35</v>
      </c>
      <c r="H5" t="s">
        <v>17</v>
      </c>
      <c r="I5" t="s">
        <v>18</v>
      </c>
      <c r="J5" t="s">
        <v>28</v>
      </c>
      <c r="K5" t="s">
        <v>19</v>
      </c>
      <c r="L5" t="s">
        <v>20</v>
      </c>
      <c r="M5" t="s">
        <v>21</v>
      </c>
    </row>
    <row r="6" spans="1:13">
      <c r="A6" t="s">
        <v>39</v>
      </c>
      <c r="B6">
        <f t="shared" si="0"/>
        <v>1</v>
      </c>
      <c r="C6" t="s">
        <v>23</v>
      </c>
      <c r="D6" t="s">
        <v>40</v>
      </c>
      <c r="E6">
        <v>45143</v>
      </c>
      <c r="F6" t="s">
        <v>15</v>
      </c>
      <c r="G6" t="s">
        <v>16</v>
      </c>
      <c r="H6" t="s">
        <v>17</v>
      </c>
      <c r="I6" t="s">
        <v>18</v>
      </c>
      <c r="J6" t="s">
        <v>15</v>
      </c>
      <c r="K6" t="s">
        <v>29</v>
      </c>
      <c r="L6" t="s">
        <v>20</v>
      </c>
      <c r="M6" t="s">
        <v>21</v>
      </c>
    </row>
    <row r="7" spans="1:13">
      <c r="A7" t="s">
        <v>41</v>
      </c>
      <c r="B7">
        <f t="shared" si="0"/>
        <v>0</v>
      </c>
      <c r="C7" t="s">
        <v>13</v>
      </c>
      <c r="D7" t="s">
        <v>42</v>
      </c>
      <c r="E7">
        <v>45144</v>
      </c>
      <c r="F7" t="s">
        <v>34</v>
      </c>
      <c r="G7" t="s">
        <v>16</v>
      </c>
      <c r="H7" t="s">
        <v>26</v>
      </c>
      <c r="I7" t="s">
        <v>27</v>
      </c>
      <c r="J7" t="s">
        <v>28</v>
      </c>
      <c r="K7" t="s">
        <v>19</v>
      </c>
      <c r="L7" t="s">
        <v>30</v>
      </c>
      <c r="M7" t="s">
        <v>31</v>
      </c>
    </row>
    <row r="8" spans="1:13">
      <c r="A8" t="s">
        <v>43</v>
      </c>
      <c r="B8">
        <f t="shared" si="0"/>
        <v>0</v>
      </c>
      <c r="C8" t="s">
        <v>13</v>
      </c>
      <c r="D8" t="s">
        <v>14</v>
      </c>
      <c r="E8">
        <v>45145</v>
      </c>
      <c r="F8" t="s">
        <v>38</v>
      </c>
      <c r="G8" t="s">
        <v>35</v>
      </c>
      <c r="H8" t="s">
        <v>26</v>
      </c>
      <c r="I8" t="s">
        <v>18</v>
      </c>
      <c r="J8" t="s">
        <v>28</v>
      </c>
      <c r="K8" t="s">
        <v>19</v>
      </c>
      <c r="L8" t="s">
        <v>30</v>
      </c>
      <c r="M8" t="s">
        <v>21</v>
      </c>
    </row>
    <row r="9" spans="1:13">
      <c r="A9" t="s">
        <v>44</v>
      </c>
      <c r="B9">
        <f t="shared" si="0"/>
        <v>1</v>
      </c>
      <c r="C9" t="s">
        <v>23</v>
      </c>
      <c r="D9" t="s">
        <v>24</v>
      </c>
      <c r="E9">
        <v>45146</v>
      </c>
      <c r="F9" t="s">
        <v>15</v>
      </c>
      <c r="G9" t="s">
        <v>16</v>
      </c>
      <c r="H9" t="s">
        <v>17</v>
      </c>
      <c r="I9" t="s">
        <v>18</v>
      </c>
      <c r="J9" t="s">
        <v>15</v>
      </c>
      <c r="K9" t="s">
        <v>29</v>
      </c>
      <c r="L9" t="s">
        <v>20</v>
      </c>
      <c r="M9" t="s">
        <v>21</v>
      </c>
    </row>
    <row r="10" spans="1:13">
      <c r="A10" t="s">
        <v>45</v>
      </c>
      <c r="B10">
        <f t="shared" si="0"/>
        <v>0</v>
      </c>
      <c r="C10" t="s">
        <v>13</v>
      </c>
      <c r="D10" t="s">
        <v>33</v>
      </c>
      <c r="E10">
        <v>45147</v>
      </c>
      <c r="F10" t="s">
        <v>25</v>
      </c>
      <c r="G10" t="s">
        <v>16</v>
      </c>
      <c r="H10" t="s">
        <v>46</v>
      </c>
      <c r="I10" t="s">
        <v>27</v>
      </c>
      <c r="J10" t="s">
        <v>28</v>
      </c>
      <c r="K10" t="s">
        <v>19</v>
      </c>
      <c r="L10" t="s">
        <v>47</v>
      </c>
      <c r="M10" t="s">
        <v>31</v>
      </c>
    </row>
    <row r="11" spans="1:13">
      <c r="A11" t="s">
        <v>48</v>
      </c>
      <c r="B11">
        <f t="shared" si="0"/>
        <v>1</v>
      </c>
      <c r="C11" t="s">
        <v>23</v>
      </c>
      <c r="D11" t="s">
        <v>37</v>
      </c>
      <c r="E11">
        <v>45148</v>
      </c>
      <c r="F11" t="s">
        <v>15</v>
      </c>
      <c r="G11" t="s">
        <v>35</v>
      </c>
      <c r="H11" t="s">
        <v>26</v>
      </c>
      <c r="I11" t="s">
        <v>18</v>
      </c>
      <c r="J11" t="s">
        <v>15</v>
      </c>
      <c r="K11" t="s">
        <v>29</v>
      </c>
      <c r="L11" t="s">
        <v>30</v>
      </c>
      <c r="M11" t="s">
        <v>21</v>
      </c>
    </row>
    <row r="12" spans="1:13">
      <c r="A12" t="s">
        <v>49</v>
      </c>
      <c r="B12">
        <f t="shared" si="0"/>
        <v>0</v>
      </c>
      <c r="C12" t="s">
        <v>13</v>
      </c>
      <c r="D12" t="s">
        <v>40</v>
      </c>
      <c r="E12">
        <v>45149</v>
      </c>
      <c r="F12" t="s">
        <v>34</v>
      </c>
      <c r="G12" t="s">
        <v>16</v>
      </c>
      <c r="H12" t="s">
        <v>26</v>
      </c>
      <c r="I12" t="s">
        <v>18</v>
      </c>
      <c r="J12" t="s">
        <v>28</v>
      </c>
      <c r="K12" t="s">
        <v>19</v>
      </c>
      <c r="L12" t="s">
        <v>30</v>
      </c>
      <c r="M12" t="s">
        <v>21</v>
      </c>
    </row>
    <row r="13" spans="1:13">
      <c r="A13" t="s">
        <v>50</v>
      </c>
      <c r="B13">
        <f t="shared" si="0"/>
        <v>1</v>
      </c>
      <c r="C13" t="s">
        <v>23</v>
      </c>
      <c r="D13" t="s">
        <v>42</v>
      </c>
      <c r="E13">
        <v>45150</v>
      </c>
      <c r="F13" t="s">
        <v>15</v>
      </c>
      <c r="G13" t="s">
        <v>16</v>
      </c>
      <c r="H13" t="s">
        <v>17</v>
      </c>
      <c r="I13" t="s">
        <v>18</v>
      </c>
      <c r="J13" t="s">
        <v>15</v>
      </c>
      <c r="K13" t="s">
        <v>29</v>
      </c>
      <c r="L13" t="s">
        <v>20</v>
      </c>
      <c r="M13" t="s">
        <v>21</v>
      </c>
    </row>
    <row r="14" spans="1:13">
      <c r="A14" t="s">
        <v>51</v>
      </c>
      <c r="B14">
        <f t="shared" si="0"/>
        <v>0</v>
      </c>
      <c r="C14" t="s">
        <v>13</v>
      </c>
      <c r="D14" t="s">
        <v>14</v>
      </c>
      <c r="E14">
        <v>45151</v>
      </c>
      <c r="F14" t="s">
        <v>38</v>
      </c>
      <c r="G14" t="s">
        <v>35</v>
      </c>
      <c r="H14" t="s">
        <v>26</v>
      </c>
      <c r="I14" t="s">
        <v>18</v>
      </c>
      <c r="J14" t="s">
        <v>28</v>
      </c>
      <c r="K14" t="s">
        <v>19</v>
      </c>
      <c r="L14" t="s">
        <v>30</v>
      </c>
      <c r="M14" t="s">
        <v>21</v>
      </c>
    </row>
    <row r="15" spans="1:13">
      <c r="A15" t="s">
        <v>52</v>
      </c>
      <c r="B15">
        <f t="shared" si="0"/>
        <v>1</v>
      </c>
      <c r="C15" t="s">
        <v>23</v>
      </c>
      <c r="D15" t="s">
        <v>37</v>
      </c>
      <c r="E15">
        <v>45152</v>
      </c>
      <c r="F15" t="s">
        <v>15</v>
      </c>
      <c r="G15" t="s">
        <v>16</v>
      </c>
      <c r="H15" t="s">
        <v>17</v>
      </c>
      <c r="I15" t="s">
        <v>18</v>
      </c>
      <c r="J15" t="s">
        <v>15</v>
      </c>
      <c r="K15" t="s">
        <v>29</v>
      </c>
      <c r="L15" t="s">
        <v>20</v>
      </c>
      <c r="M15" t="s">
        <v>21</v>
      </c>
    </row>
    <row r="16" spans="1:13">
      <c r="A16" t="s">
        <v>53</v>
      </c>
      <c r="B16">
        <f t="shared" si="0"/>
        <v>0</v>
      </c>
      <c r="C16" t="s">
        <v>13</v>
      </c>
      <c r="D16" t="s">
        <v>40</v>
      </c>
      <c r="E16">
        <v>45153</v>
      </c>
      <c r="F16" t="s">
        <v>34</v>
      </c>
      <c r="G16" t="s">
        <v>35</v>
      </c>
      <c r="H16" t="s">
        <v>17</v>
      </c>
      <c r="I16" t="s">
        <v>27</v>
      </c>
      <c r="J16" t="s">
        <v>28</v>
      </c>
      <c r="K16" t="s">
        <v>19</v>
      </c>
      <c r="L16" t="s">
        <v>20</v>
      </c>
      <c r="M16" t="s">
        <v>31</v>
      </c>
    </row>
    <row r="17" spans="1:13">
      <c r="A17" t="s">
        <v>54</v>
      </c>
      <c r="B17">
        <f t="shared" si="0"/>
        <v>0</v>
      </c>
      <c r="C17" t="s">
        <v>23</v>
      </c>
      <c r="D17" t="s">
        <v>42</v>
      </c>
      <c r="E17">
        <v>45154</v>
      </c>
      <c r="F17" t="s">
        <v>25</v>
      </c>
      <c r="G17" t="s">
        <v>16</v>
      </c>
      <c r="H17" t="s">
        <v>46</v>
      </c>
      <c r="I17" t="s">
        <v>27</v>
      </c>
      <c r="J17" t="s">
        <v>28</v>
      </c>
      <c r="K17" t="s">
        <v>29</v>
      </c>
      <c r="L17" t="s">
        <v>47</v>
      </c>
      <c r="M17" t="s">
        <v>31</v>
      </c>
    </row>
    <row r="18" spans="1:13">
      <c r="A18" t="s">
        <v>55</v>
      </c>
      <c r="B18">
        <f t="shared" si="0"/>
        <v>1</v>
      </c>
      <c r="C18" t="s">
        <v>13</v>
      </c>
      <c r="D18" t="s">
        <v>24</v>
      </c>
      <c r="E18">
        <v>45155</v>
      </c>
      <c r="F18" t="s">
        <v>15</v>
      </c>
      <c r="G18" t="s">
        <v>35</v>
      </c>
      <c r="H18" t="s">
        <v>26</v>
      </c>
      <c r="I18" t="s">
        <v>18</v>
      </c>
      <c r="J18" t="s">
        <v>15</v>
      </c>
      <c r="K18" t="s">
        <v>19</v>
      </c>
      <c r="L18" t="s">
        <v>30</v>
      </c>
      <c r="M18" t="s">
        <v>21</v>
      </c>
    </row>
    <row r="19" spans="1:13">
      <c r="A19" t="s">
        <v>56</v>
      </c>
      <c r="B19">
        <f t="shared" si="0"/>
        <v>0</v>
      </c>
      <c r="C19" t="s">
        <v>13</v>
      </c>
      <c r="D19" t="s">
        <v>33</v>
      </c>
      <c r="E19">
        <v>45156</v>
      </c>
      <c r="F19" t="s">
        <v>34</v>
      </c>
      <c r="G19" t="s">
        <v>16</v>
      </c>
      <c r="H19" t="s">
        <v>26</v>
      </c>
      <c r="I19" t="s">
        <v>18</v>
      </c>
      <c r="J19" t="s">
        <v>28</v>
      </c>
      <c r="K19" t="s">
        <v>19</v>
      </c>
      <c r="L19" t="s">
        <v>30</v>
      </c>
      <c r="M19" t="s">
        <v>21</v>
      </c>
    </row>
    <row r="20" spans="1:13">
      <c r="A20" t="s">
        <v>57</v>
      </c>
      <c r="B20">
        <f t="shared" si="0"/>
        <v>1</v>
      </c>
      <c r="C20" t="s">
        <v>23</v>
      </c>
      <c r="D20" t="s">
        <v>37</v>
      </c>
      <c r="E20">
        <v>45157</v>
      </c>
      <c r="F20" t="s">
        <v>15</v>
      </c>
      <c r="G20" t="s">
        <v>16</v>
      </c>
      <c r="H20" t="s">
        <v>17</v>
      </c>
      <c r="I20" t="s">
        <v>18</v>
      </c>
      <c r="J20" t="s">
        <v>15</v>
      </c>
      <c r="K20" t="s">
        <v>29</v>
      </c>
      <c r="L20" t="s">
        <v>20</v>
      </c>
      <c r="M20" t="s">
        <v>21</v>
      </c>
    </row>
    <row r="21" spans="1:13">
      <c r="A21" t="s">
        <v>58</v>
      </c>
      <c r="B21">
        <f t="shared" si="0"/>
        <v>0</v>
      </c>
      <c r="C21" t="s">
        <v>13</v>
      </c>
      <c r="D21" t="s">
        <v>40</v>
      </c>
      <c r="E21">
        <v>45158</v>
      </c>
      <c r="F21" t="s">
        <v>34</v>
      </c>
      <c r="G21" t="s">
        <v>35</v>
      </c>
      <c r="H21" t="s">
        <v>26</v>
      </c>
      <c r="I21" t="s">
        <v>18</v>
      </c>
      <c r="J21" t="s">
        <v>28</v>
      </c>
      <c r="K21" t="s">
        <v>19</v>
      </c>
      <c r="L21" t="s">
        <v>30</v>
      </c>
      <c r="M21" t="s">
        <v>21</v>
      </c>
    </row>
    <row r="22" spans="1:13">
      <c r="A22" t="s">
        <v>59</v>
      </c>
      <c r="B22">
        <f t="shared" si="0"/>
        <v>1</v>
      </c>
      <c r="C22" t="s">
        <v>23</v>
      </c>
      <c r="D22" t="s">
        <v>42</v>
      </c>
      <c r="E22">
        <v>45143</v>
      </c>
      <c r="F22" t="s">
        <v>15</v>
      </c>
      <c r="G22" t="s">
        <v>16</v>
      </c>
      <c r="H22" t="s">
        <v>17</v>
      </c>
      <c r="I22" t="s">
        <v>18</v>
      </c>
      <c r="J22" t="s">
        <v>15</v>
      </c>
      <c r="K22" t="s">
        <v>29</v>
      </c>
      <c r="L22" t="s">
        <v>20</v>
      </c>
      <c r="M22" t="s">
        <v>21</v>
      </c>
    </row>
    <row r="23" spans="1:13">
      <c r="A23" t="s">
        <v>60</v>
      </c>
      <c r="B23">
        <f t="shared" si="0"/>
        <v>0</v>
      </c>
      <c r="C23" t="s">
        <v>13</v>
      </c>
      <c r="D23" t="s">
        <v>14</v>
      </c>
      <c r="E23">
        <v>45146</v>
      </c>
      <c r="F23" t="s">
        <v>25</v>
      </c>
      <c r="G23" t="s">
        <v>35</v>
      </c>
      <c r="H23" t="s">
        <v>26</v>
      </c>
      <c r="I23" t="s">
        <v>27</v>
      </c>
      <c r="J23" t="s">
        <v>28</v>
      </c>
      <c r="K23" t="s">
        <v>19</v>
      </c>
      <c r="L23" t="s">
        <v>30</v>
      </c>
      <c r="M23" t="s">
        <v>31</v>
      </c>
    </row>
    <row r="24" spans="1:13">
      <c r="A24" t="s">
        <v>61</v>
      </c>
      <c r="B24">
        <f t="shared" si="0"/>
        <v>0</v>
      </c>
      <c r="C24" t="s">
        <v>23</v>
      </c>
      <c r="D24" t="s">
        <v>24</v>
      </c>
      <c r="E24">
        <v>45150</v>
      </c>
      <c r="F24" t="s">
        <v>34</v>
      </c>
      <c r="G24" t="s">
        <v>16</v>
      </c>
      <c r="H24" t="s">
        <v>17</v>
      </c>
      <c r="I24" t="s">
        <v>18</v>
      </c>
      <c r="J24" t="s">
        <v>28</v>
      </c>
      <c r="K24" t="s">
        <v>29</v>
      </c>
      <c r="L24" t="s">
        <v>20</v>
      </c>
      <c r="M24" t="s">
        <v>21</v>
      </c>
    </row>
    <row r="25" spans="1:13">
      <c r="A25" t="s">
        <v>62</v>
      </c>
      <c r="B25">
        <f t="shared" si="0"/>
        <v>1</v>
      </c>
      <c r="C25" t="s">
        <v>13</v>
      </c>
      <c r="D25" t="s">
        <v>33</v>
      </c>
      <c r="E25">
        <v>45153</v>
      </c>
      <c r="F25" t="s">
        <v>15</v>
      </c>
      <c r="G25" t="s">
        <v>35</v>
      </c>
      <c r="H25" t="s">
        <v>26</v>
      </c>
      <c r="I25" t="s">
        <v>18</v>
      </c>
      <c r="J25" t="s">
        <v>15</v>
      </c>
      <c r="K25" t="s">
        <v>19</v>
      </c>
      <c r="L25" t="s">
        <v>30</v>
      </c>
      <c r="M25" t="s">
        <v>21</v>
      </c>
    </row>
    <row r="26" spans="1:13">
      <c r="A26" t="s">
        <v>63</v>
      </c>
      <c r="B26">
        <f t="shared" si="0"/>
        <v>0</v>
      </c>
      <c r="C26" t="s">
        <v>13</v>
      </c>
      <c r="D26" t="s">
        <v>37</v>
      </c>
      <c r="E26">
        <v>45156</v>
      </c>
      <c r="F26" t="s">
        <v>38</v>
      </c>
      <c r="G26" t="s">
        <v>35</v>
      </c>
      <c r="H26" t="s">
        <v>17</v>
      </c>
      <c r="I26" t="s">
        <v>18</v>
      </c>
      <c r="J26" t="s">
        <v>28</v>
      </c>
      <c r="K26" t="s">
        <v>19</v>
      </c>
      <c r="L26" t="s">
        <v>20</v>
      </c>
      <c r="M26" t="s">
        <v>21</v>
      </c>
    </row>
    <row r="27" spans="1:13">
      <c r="A27" t="s">
        <v>64</v>
      </c>
      <c r="B27">
        <f t="shared" si="0"/>
        <v>1</v>
      </c>
      <c r="C27" t="s">
        <v>23</v>
      </c>
      <c r="D27" t="s">
        <v>40</v>
      </c>
      <c r="E27">
        <v>45160</v>
      </c>
      <c r="F27" t="s">
        <v>15</v>
      </c>
      <c r="G27" t="s">
        <v>16</v>
      </c>
      <c r="H27" t="s">
        <v>17</v>
      </c>
      <c r="I27" t="s">
        <v>18</v>
      </c>
      <c r="J27" t="s">
        <v>15</v>
      </c>
      <c r="K27" t="s">
        <v>29</v>
      </c>
      <c r="L27" t="s">
        <v>20</v>
      </c>
      <c r="M27" t="s">
        <v>21</v>
      </c>
    </row>
    <row r="28" spans="1:13">
      <c r="A28" t="s">
        <v>65</v>
      </c>
      <c r="B28">
        <f t="shared" si="0"/>
        <v>0</v>
      </c>
      <c r="C28" t="s">
        <v>13</v>
      </c>
      <c r="D28" t="s">
        <v>42</v>
      </c>
      <c r="E28">
        <v>45164</v>
      </c>
      <c r="F28" t="s">
        <v>34</v>
      </c>
      <c r="G28" t="s">
        <v>16</v>
      </c>
      <c r="H28" t="s">
        <v>26</v>
      </c>
      <c r="I28" t="s">
        <v>27</v>
      </c>
      <c r="J28" t="s">
        <v>28</v>
      </c>
      <c r="K28" t="s">
        <v>19</v>
      </c>
      <c r="L28" t="s">
        <v>30</v>
      </c>
      <c r="M28" t="s">
        <v>31</v>
      </c>
    </row>
    <row r="29" spans="1:13">
      <c r="A29" t="s">
        <v>66</v>
      </c>
      <c r="B29">
        <f t="shared" si="0"/>
        <v>0</v>
      </c>
      <c r="C29" t="s">
        <v>13</v>
      </c>
      <c r="D29" t="s">
        <v>14</v>
      </c>
      <c r="E29">
        <v>45139</v>
      </c>
      <c r="F29" t="s">
        <v>38</v>
      </c>
      <c r="G29" t="s">
        <v>35</v>
      </c>
      <c r="H29" t="s">
        <v>26</v>
      </c>
      <c r="I29" t="s">
        <v>18</v>
      </c>
      <c r="J29" t="s">
        <v>28</v>
      </c>
      <c r="K29" t="s">
        <v>19</v>
      </c>
      <c r="L29" t="s">
        <v>30</v>
      </c>
      <c r="M29" t="s">
        <v>21</v>
      </c>
    </row>
    <row r="30" spans="1:13">
      <c r="A30" t="s">
        <v>67</v>
      </c>
      <c r="B30">
        <f t="shared" si="0"/>
        <v>1</v>
      </c>
      <c r="C30" t="s">
        <v>23</v>
      </c>
      <c r="D30" t="s">
        <v>24</v>
      </c>
      <c r="E30">
        <v>45142</v>
      </c>
      <c r="F30" t="s">
        <v>15</v>
      </c>
      <c r="G30" t="s">
        <v>16</v>
      </c>
      <c r="H30" t="s">
        <v>17</v>
      </c>
      <c r="I30" t="s">
        <v>18</v>
      </c>
      <c r="J30" t="s">
        <v>15</v>
      </c>
      <c r="K30" t="s">
        <v>29</v>
      </c>
      <c r="L30" t="s">
        <v>20</v>
      </c>
      <c r="M30" t="s">
        <v>21</v>
      </c>
    </row>
    <row r="31" spans="1:13">
      <c r="A31" t="s">
        <v>68</v>
      </c>
      <c r="B31">
        <f t="shared" si="0"/>
        <v>0</v>
      </c>
      <c r="C31" t="s">
        <v>13</v>
      </c>
      <c r="D31" t="s">
        <v>33</v>
      </c>
      <c r="E31">
        <v>45145</v>
      </c>
      <c r="F31" t="s">
        <v>25</v>
      </c>
      <c r="G31" t="s">
        <v>16</v>
      </c>
      <c r="H31" t="s">
        <v>46</v>
      </c>
      <c r="I31" t="s">
        <v>27</v>
      </c>
      <c r="J31" t="s">
        <v>28</v>
      </c>
      <c r="K31" t="s">
        <v>19</v>
      </c>
      <c r="L31" t="s">
        <v>47</v>
      </c>
      <c r="M31" t="s">
        <v>31</v>
      </c>
    </row>
    <row r="32" spans="1:13">
      <c r="A32" t="s">
        <v>69</v>
      </c>
      <c r="B32">
        <f t="shared" si="0"/>
        <v>1</v>
      </c>
      <c r="C32" t="s">
        <v>23</v>
      </c>
      <c r="D32" t="s">
        <v>37</v>
      </c>
      <c r="E32">
        <v>45148</v>
      </c>
      <c r="F32" t="s">
        <v>15</v>
      </c>
      <c r="G32" t="s">
        <v>35</v>
      </c>
      <c r="H32" t="s">
        <v>26</v>
      </c>
      <c r="I32" t="s">
        <v>18</v>
      </c>
      <c r="J32" t="s">
        <v>15</v>
      </c>
      <c r="K32" t="s">
        <v>29</v>
      </c>
      <c r="L32" t="s">
        <v>30</v>
      </c>
      <c r="M32" t="s">
        <v>21</v>
      </c>
    </row>
    <row r="33" spans="1:13">
      <c r="A33" t="s">
        <v>70</v>
      </c>
      <c r="B33">
        <f t="shared" si="0"/>
        <v>0</v>
      </c>
      <c r="C33" t="s">
        <v>13</v>
      </c>
      <c r="D33" t="s">
        <v>40</v>
      </c>
      <c r="E33">
        <v>45151</v>
      </c>
      <c r="F33" t="s">
        <v>34</v>
      </c>
      <c r="G33" t="s">
        <v>16</v>
      </c>
      <c r="H33" t="s">
        <v>26</v>
      </c>
      <c r="I33" t="s">
        <v>18</v>
      </c>
      <c r="J33" t="s">
        <v>28</v>
      </c>
      <c r="K33" t="s">
        <v>19</v>
      </c>
      <c r="L33" t="s">
        <v>30</v>
      </c>
      <c r="M33" t="s">
        <v>21</v>
      </c>
    </row>
    <row r="34" spans="1:13">
      <c r="A34" t="s">
        <v>71</v>
      </c>
      <c r="B34">
        <f t="shared" si="0"/>
        <v>1</v>
      </c>
      <c r="C34" t="s">
        <v>23</v>
      </c>
      <c r="D34" t="s">
        <v>42</v>
      </c>
      <c r="E34">
        <v>45154</v>
      </c>
      <c r="F34" t="s">
        <v>15</v>
      </c>
      <c r="G34" t="s">
        <v>16</v>
      </c>
      <c r="H34" t="s">
        <v>17</v>
      </c>
      <c r="I34" t="s">
        <v>18</v>
      </c>
      <c r="J34" t="s">
        <v>15</v>
      </c>
      <c r="K34" t="s">
        <v>29</v>
      </c>
      <c r="L34" t="s">
        <v>20</v>
      </c>
      <c r="M34" t="s">
        <v>21</v>
      </c>
    </row>
    <row r="35" spans="1:13">
      <c r="A35" t="s">
        <v>72</v>
      </c>
      <c r="B35">
        <f t="shared" si="0"/>
        <v>0</v>
      </c>
      <c r="C35" t="s">
        <v>13</v>
      </c>
      <c r="D35" t="s">
        <v>14</v>
      </c>
      <c r="E35">
        <v>45157</v>
      </c>
      <c r="F35" t="s">
        <v>38</v>
      </c>
      <c r="G35" t="s">
        <v>35</v>
      </c>
      <c r="H35" t="s">
        <v>26</v>
      </c>
      <c r="I35" t="s">
        <v>18</v>
      </c>
      <c r="J35" t="s">
        <v>28</v>
      </c>
      <c r="K35" t="s">
        <v>19</v>
      </c>
      <c r="L35" t="s">
        <v>30</v>
      </c>
      <c r="M35" t="s">
        <v>21</v>
      </c>
    </row>
    <row r="36" spans="1:13">
      <c r="A36" t="s">
        <v>73</v>
      </c>
      <c r="B36">
        <f t="shared" si="0"/>
        <v>1</v>
      </c>
      <c r="C36" t="s">
        <v>23</v>
      </c>
      <c r="D36" t="s">
        <v>37</v>
      </c>
      <c r="E36">
        <v>45161</v>
      </c>
      <c r="F36" t="s">
        <v>15</v>
      </c>
      <c r="G36" t="s">
        <v>16</v>
      </c>
      <c r="H36" t="s">
        <v>17</v>
      </c>
      <c r="I36" t="s">
        <v>18</v>
      </c>
      <c r="J36" t="s">
        <v>15</v>
      </c>
      <c r="K36" t="s">
        <v>29</v>
      </c>
      <c r="L36" t="s">
        <v>20</v>
      </c>
      <c r="M36" t="s">
        <v>21</v>
      </c>
    </row>
    <row r="37" spans="1:13">
      <c r="A37" t="s">
        <v>74</v>
      </c>
      <c r="B37">
        <f t="shared" si="0"/>
        <v>0</v>
      </c>
      <c r="C37" t="s">
        <v>13</v>
      </c>
      <c r="D37" t="s">
        <v>40</v>
      </c>
      <c r="E37">
        <v>45165</v>
      </c>
      <c r="F37" t="s">
        <v>34</v>
      </c>
      <c r="G37" t="s">
        <v>35</v>
      </c>
      <c r="H37" t="s">
        <v>17</v>
      </c>
      <c r="I37" t="s">
        <v>27</v>
      </c>
      <c r="J37" t="s">
        <v>28</v>
      </c>
      <c r="K37" t="s">
        <v>19</v>
      </c>
      <c r="L37" t="s">
        <v>20</v>
      </c>
      <c r="M37" t="s">
        <v>31</v>
      </c>
    </row>
    <row r="38" spans="1:13">
      <c r="A38" t="s">
        <v>75</v>
      </c>
      <c r="B38">
        <f t="shared" si="0"/>
        <v>0</v>
      </c>
      <c r="C38" t="s">
        <v>23</v>
      </c>
      <c r="D38" t="s">
        <v>42</v>
      </c>
      <c r="E38">
        <v>45140</v>
      </c>
      <c r="F38" t="s">
        <v>25</v>
      </c>
      <c r="G38" t="s">
        <v>16</v>
      </c>
      <c r="H38" t="s">
        <v>46</v>
      </c>
      <c r="I38" t="s">
        <v>27</v>
      </c>
      <c r="J38" t="s">
        <v>28</v>
      </c>
      <c r="K38" t="s">
        <v>29</v>
      </c>
      <c r="L38" t="s">
        <v>47</v>
      </c>
      <c r="M38" t="s">
        <v>31</v>
      </c>
    </row>
    <row r="39" spans="1:13">
      <c r="A39" t="s">
        <v>76</v>
      </c>
      <c r="B39">
        <f t="shared" si="0"/>
        <v>1</v>
      </c>
      <c r="C39" t="s">
        <v>13</v>
      </c>
      <c r="D39" t="s">
        <v>24</v>
      </c>
      <c r="E39">
        <v>45144</v>
      </c>
      <c r="F39" t="s">
        <v>15</v>
      </c>
      <c r="G39" t="s">
        <v>35</v>
      </c>
      <c r="H39" t="s">
        <v>26</v>
      </c>
      <c r="I39" t="s">
        <v>18</v>
      </c>
      <c r="J39" t="s">
        <v>15</v>
      </c>
      <c r="K39" t="s">
        <v>19</v>
      </c>
      <c r="L39" t="s">
        <v>30</v>
      </c>
      <c r="M39" t="s">
        <v>21</v>
      </c>
    </row>
    <row r="40" spans="1:13">
      <c r="A40" t="s">
        <v>77</v>
      </c>
      <c r="B40">
        <f t="shared" si="0"/>
        <v>0</v>
      </c>
      <c r="C40" t="s">
        <v>13</v>
      </c>
      <c r="D40" t="s">
        <v>33</v>
      </c>
      <c r="E40">
        <v>45147</v>
      </c>
      <c r="F40" t="s">
        <v>34</v>
      </c>
      <c r="G40" t="s">
        <v>16</v>
      </c>
      <c r="H40" t="s">
        <v>26</v>
      </c>
      <c r="I40" t="s">
        <v>18</v>
      </c>
      <c r="J40" t="s">
        <v>28</v>
      </c>
      <c r="K40" t="s">
        <v>19</v>
      </c>
      <c r="L40" t="s">
        <v>30</v>
      </c>
      <c r="M40" t="s">
        <v>21</v>
      </c>
    </row>
    <row r="41" spans="1:13">
      <c r="A41" t="s">
        <v>78</v>
      </c>
      <c r="B41">
        <f t="shared" si="0"/>
        <v>1</v>
      </c>
      <c r="C41" t="s">
        <v>23</v>
      </c>
      <c r="D41" t="s">
        <v>37</v>
      </c>
      <c r="E41">
        <v>45152</v>
      </c>
      <c r="F41" t="s">
        <v>15</v>
      </c>
      <c r="G41" t="s">
        <v>16</v>
      </c>
      <c r="H41" t="s">
        <v>17</v>
      </c>
      <c r="I41" t="s">
        <v>18</v>
      </c>
      <c r="J41" t="s">
        <v>15</v>
      </c>
      <c r="K41" t="s">
        <v>29</v>
      </c>
      <c r="L41" t="s">
        <v>20</v>
      </c>
      <c r="M41" t="s">
        <v>21</v>
      </c>
    </row>
    <row r="42" spans="1:13">
      <c r="A42" t="s">
        <v>79</v>
      </c>
      <c r="B42">
        <f t="shared" si="0"/>
        <v>1</v>
      </c>
      <c r="C42" t="s">
        <v>23</v>
      </c>
      <c r="D42" t="s">
        <v>42</v>
      </c>
      <c r="E42">
        <v>45141</v>
      </c>
      <c r="F42" t="s">
        <v>15</v>
      </c>
      <c r="G42" t="s">
        <v>16</v>
      </c>
      <c r="H42" t="s">
        <v>17</v>
      </c>
      <c r="I42" t="s">
        <v>18</v>
      </c>
      <c r="J42" t="s">
        <v>15</v>
      </c>
      <c r="K42" t="s">
        <v>29</v>
      </c>
      <c r="L42" t="s">
        <v>20</v>
      </c>
      <c r="M42" t="s">
        <v>21</v>
      </c>
    </row>
    <row r="43" spans="1:13">
      <c r="A43" t="s">
        <v>80</v>
      </c>
      <c r="B43">
        <f t="shared" si="0"/>
        <v>0</v>
      </c>
      <c r="C43" t="s">
        <v>13</v>
      </c>
      <c r="D43" t="s">
        <v>14</v>
      </c>
      <c r="E43">
        <v>45144</v>
      </c>
      <c r="F43" t="s">
        <v>25</v>
      </c>
      <c r="G43" t="s">
        <v>35</v>
      </c>
      <c r="H43" t="s">
        <v>26</v>
      </c>
      <c r="I43" t="s">
        <v>27</v>
      </c>
      <c r="J43" t="s">
        <v>28</v>
      </c>
      <c r="K43" t="s">
        <v>19</v>
      </c>
      <c r="L43" t="s">
        <v>30</v>
      </c>
      <c r="M43" t="s">
        <v>31</v>
      </c>
    </row>
    <row r="44" spans="1:13">
      <c r="A44" t="s">
        <v>81</v>
      </c>
      <c r="B44">
        <f t="shared" si="0"/>
        <v>0</v>
      </c>
      <c r="C44" t="s">
        <v>23</v>
      </c>
      <c r="D44" t="s">
        <v>24</v>
      </c>
      <c r="E44">
        <v>45147</v>
      </c>
      <c r="F44" t="s">
        <v>34</v>
      </c>
      <c r="G44" t="s">
        <v>16</v>
      </c>
      <c r="H44" t="s">
        <v>17</v>
      </c>
      <c r="I44" t="s">
        <v>18</v>
      </c>
      <c r="J44" t="s">
        <v>28</v>
      </c>
      <c r="K44" t="s">
        <v>29</v>
      </c>
      <c r="L44" t="s">
        <v>20</v>
      </c>
      <c r="M44" t="s">
        <v>21</v>
      </c>
    </row>
    <row r="45" spans="1:13">
      <c r="A45" t="s">
        <v>82</v>
      </c>
      <c r="B45">
        <f t="shared" si="0"/>
        <v>1</v>
      </c>
      <c r="C45" t="s">
        <v>13</v>
      </c>
      <c r="D45" t="s">
        <v>33</v>
      </c>
      <c r="E45">
        <v>45150</v>
      </c>
      <c r="F45" t="s">
        <v>15</v>
      </c>
      <c r="G45" t="s">
        <v>35</v>
      </c>
      <c r="H45" t="s">
        <v>26</v>
      </c>
      <c r="I45" t="s">
        <v>18</v>
      </c>
      <c r="J45" t="s">
        <v>15</v>
      </c>
      <c r="K45" t="s">
        <v>19</v>
      </c>
      <c r="L45" t="s">
        <v>30</v>
      </c>
      <c r="M45" t="s">
        <v>21</v>
      </c>
    </row>
    <row r="46" spans="1:13">
      <c r="A46" t="s">
        <v>83</v>
      </c>
      <c r="B46">
        <f t="shared" si="0"/>
        <v>0</v>
      </c>
      <c r="C46" t="s">
        <v>13</v>
      </c>
      <c r="D46" t="s">
        <v>37</v>
      </c>
      <c r="E46">
        <v>45153</v>
      </c>
      <c r="F46" t="s">
        <v>38</v>
      </c>
      <c r="G46" t="s">
        <v>35</v>
      </c>
      <c r="H46" t="s">
        <v>17</v>
      </c>
      <c r="I46" t="s">
        <v>18</v>
      </c>
      <c r="J46" t="s">
        <v>28</v>
      </c>
      <c r="K46" t="s">
        <v>19</v>
      </c>
      <c r="L46" t="s">
        <v>20</v>
      </c>
      <c r="M46" t="s">
        <v>21</v>
      </c>
    </row>
    <row r="47" spans="1:13">
      <c r="A47" t="s">
        <v>84</v>
      </c>
      <c r="B47">
        <f t="shared" si="0"/>
        <v>1</v>
      </c>
      <c r="C47" t="s">
        <v>23</v>
      </c>
      <c r="D47" t="s">
        <v>40</v>
      </c>
      <c r="E47">
        <v>45156</v>
      </c>
      <c r="F47" t="s">
        <v>15</v>
      </c>
      <c r="G47" t="s">
        <v>16</v>
      </c>
      <c r="H47" t="s">
        <v>17</v>
      </c>
      <c r="I47" t="s">
        <v>18</v>
      </c>
      <c r="J47" t="s">
        <v>15</v>
      </c>
      <c r="K47" t="s">
        <v>29</v>
      </c>
      <c r="L47" t="s">
        <v>20</v>
      </c>
      <c r="M47" t="s">
        <v>21</v>
      </c>
    </row>
    <row r="48" spans="1:13">
      <c r="A48" t="s">
        <v>85</v>
      </c>
      <c r="B48">
        <f t="shared" si="0"/>
        <v>0</v>
      </c>
      <c r="C48" t="s">
        <v>13</v>
      </c>
      <c r="D48" t="s">
        <v>42</v>
      </c>
      <c r="E48">
        <v>45159</v>
      </c>
      <c r="F48" t="s">
        <v>34</v>
      </c>
      <c r="G48" t="s">
        <v>16</v>
      </c>
      <c r="H48" t="s">
        <v>26</v>
      </c>
      <c r="I48" t="s">
        <v>27</v>
      </c>
      <c r="J48" t="s">
        <v>28</v>
      </c>
      <c r="K48" t="s">
        <v>19</v>
      </c>
      <c r="L48" t="s">
        <v>30</v>
      </c>
      <c r="M48" t="s">
        <v>31</v>
      </c>
    </row>
    <row r="49" spans="1:13">
      <c r="A49" t="s">
        <v>86</v>
      </c>
      <c r="B49">
        <f t="shared" si="0"/>
        <v>0</v>
      </c>
      <c r="C49" t="s">
        <v>13</v>
      </c>
      <c r="D49" t="s">
        <v>14</v>
      </c>
      <c r="E49">
        <v>45162</v>
      </c>
      <c r="F49" t="s">
        <v>38</v>
      </c>
      <c r="G49" t="s">
        <v>35</v>
      </c>
      <c r="H49" t="s">
        <v>26</v>
      </c>
      <c r="I49" t="s">
        <v>18</v>
      </c>
      <c r="J49" t="s">
        <v>28</v>
      </c>
      <c r="K49" t="s">
        <v>19</v>
      </c>
      <c r="L49" t="s">
        <v>30</v>
      </c>
      <c r="M49" t="s">
        <v>21</v>
      </c>
    </row>
    <row r="50" spans="1:13">
      <c r="A50" t="s">
        <v>87</v>
      </c>
      <c r="B50">
        <f t="shared" si="0"/>
        <v>1</v>
      </c>
      <c r="C50" t="s">
        <v>23</v>
      </c>
      <c r="D50" t="s">
        <v>24</v>
      </c>
      <c r="E50">
        <v>45165</v>
      </c>
      <c r="F50" t="s">
        <v>15</v>
      </c>
      <c r="G50" t="s">
        <v>16</v>
      </c>
      <c r="H50" t="s">
        <v>17</v>
      </c>
      <c r="I50" t="s">
        <v>18</v>
      </c>
      <c r="J50" t="s">
        <v>15</v>
      </c>
      <c r="K50" t="s">
        <v>29</v>
      </c>
      <c r="L50" t="s">
        <v>20</v>
      </c>
      <c r="M50" t="s">
        <v>21</v>
      </c>
    </row>
    <row r="51" spans="1:13">
      <c r="A51" t="s">
        <v>88</v>
      </c>
      <c r="B51">
        <f t="shared" si="0"/>
        <v>0</v>
      </c>
      <c r="C51" t="s">
        <v>13</v>
      </c>
      <c r="D51" t="s">
        <v>33</v>
      </c>
      <c r="E51">
        <v>45168</v>
      </c>
      <c r="F51" t="s">
        <v>25</v>
      </c>
      <c r="G51" t="s">
        <v>16</v>
      </c>
      <c r="H51" t="s">
        <v>46</v>
      </c>
      <c r="I51" t="s">
        <v>27</v>
      </c>
      <c r="J51" t="s">
        <v>28</v>
      </c>
      <c r="K51" t="s">
        <v>19</v>
      </c>
      <c r="L51" t="s">
        <v>47</v>
      </c>
      <c r="M51" t="s">
        <v>31</v>
      </c>
    </row>
    <row r="52" spans="1:13">
      <c r="A52" t="s">
        <v>89</v>
      </c>
      <c r="B52">
        <f t="shared" si="0"/>
        <v>1</v>
      </c>
      <c r="C52" t="s">
        <v>23</v>
      </c>
      <c r="D52" t="s">
        <v>37</v>
      </c>
      <c r="E52">
        <v>45140</v>
      </c>
      <c r="F52" t="s">
        <v>15</v>
      </c>
      <c r="G52" t="s">
        <v>35</v>
      </c>
      <c r="H52" t="s">
        <v>26</v>
      </c>
      <c r="I52" t="s">
        <v>18</v>
      </c>
      <c r="J52" t="s">
        <v>15</v>
      </c>
      <c r="K52" t="s">
        <v>29</v>
      </c>
      <c r="L52" t="s">
        <v>30</v>
      </c>
      <c r="M52" t="s">
        <v>21</v>
      </c>
    </row>
    <row r="53" spans="1:13">
      <c r="A53" t="s">
        <v>90</v>
      </c>
      <c r="B53">
        <f t="shared" si="0"/>
        <v>0</v>
      </c>
      <c r="C53" t="s">
        <v>13</v>
      </c>
      <c r="D53" t="s">
        <v>40</v>
      </c>
      <c r="E53">
        <v>45143</v>
      </c>
      <c r="F53" t="s">
        <v>34</v>
      </c>
      <c r="G53" t="s">
        <v>16</v>
      </c>
      <c r="H53" t="s">
        <v>26</v>
      </c>
      <c r="I53" t="s">
        <v>18</v>
      </c>
      <c r="J53" t="s">
        <v>28</v>
      </c>
      <c r="K53" t="s">
        <v>19</v>
      </c>
      <c r="L53" t="s">
        <v>30</v>
      </c>
      <c r="M53" t="s">
        <v>21</v>
      </c>
    </row>
    <row r="54" spans="1:13">
      <c r="A54" t="s">
        <v>91</v>
      </c>
      <c r="B54">
        <f t="shared" si="0"/>
        <v>1</v>
      </c>
      <c r="C54" t="s">
        <v>23</v>
      </c>
      <c r="D54" t="s">
        <v>42</v>
      </c>
      <c r="E54">
        <v>45146</v>
      </c>
      <c r="F54" t="s">
        <v>15</v>
      </c>
      <c r="G54" t="s">
        <v>16</v>
      </c>
      <c r="H54" t="s">
        <v>17</v>
      </c>
      <c r="I54" t="s">
        <v>18</v>
      </c>
      <c r="J54" t="s">
        <v>15</v>
      </c>
      <c r="K54" t="s">
        <v>29</v>
      </c>
      <c r="L54" t="s">
        <v>20</v>
      </c>
      <c r="M54" t="s">
        <v>21</v>
      </c>
    </row>
    <row r="55" spans="1:13">
      <c r="A55" t="s">
        <v>92</v>
      </c>
      <c r="B55">
        <f t="shared" si="0"/>
        <v>0</v>
      </c>
      <c r="C55" t="s">
        <v>13</v>
      </c>
      <c r="D55" t="s">
        <v>14</v>
      </c>
      <c r="E55">
        <v>45149</v>
      </c>
      <c r="F55" t="s">
        <v>38</v>
      </c>
      <c r="G55" t="s">
        <v>35</v>
      </c>
      <c r="H55" t="s">
        <v>26</v>
      </c>
      <c r="I55" t="s">
        <v>18</v>
      </c>
      <c r="J55" t="s">
        <v>28</v>
      </c>
      <c r="K55" t="s">
        <v>19</v>
      </c>
      <c r="L55" t="s">
        <v>30</v>
      </c>
      <c r="M55" t="s">
        <v>21</v>
      </c>
    </row>
    <row r="56" spans="1:13">
      <c r="A56" t="s">
        <v>93</v>
      </c>
      <c r="B56">
        <f t="shared" si="0"/>
        <v>1</v>
      </c>
      <c r="C56" t="s">
        <v>23</v>
      </c>
      <c r="D56" t="s">
        <v>37</v>
      </c>
      <c r="E56">
        <v>45152</v>
      </c>
      <c r="F56" t="s">
        <v>15</v>
      </c>
      <c r="G56" t="s">
        <v>16</v>
      </c>
      <c r="H56" t="s">
        <v>17</v>
      </c>
      <c r="I56" t="s">
        <v>18</v>
      </c>
      <c r="J56" t="s">
        <v>15</v>
      </c>
      <c r="K56" t="s">
        <v>29</v>
      </c>
      <c r="L56" t="s">
        <v>20</v>
      </c>
      <c r="M56" t="s">
        <v>21</v>
      </c>
    </row>
    <row r="57" spans="1:13">
      <c r="A57" t="s">
        <v>94</v>
      </c>
      <c r="B57">
        <f t="shared" si="0"/>
        <v>0</v>
      </c>
      <c r="C57" t="s">
        <v>13</v>
      </c>
      <c r="D57" t="s">
        <v>40</v>
      </c>
      <c r="E57">
        <v>45155</v>
      </c>
      <c r="F57" t="s">
        <v>34</v>
      </c>
      <c r="G57" t="s">
        <v>35</v>
      </c>
      <c r="H57" t="s">
        <v>17</v>
      </c>
      <c r="I57" t="s">
        <v>27</v>
      </c>
      <c r="J57" t="s">
        <v>28</v>
      </c>
      <c r="K57" t="s">
        <v>19</v>
      </c>
      <c r="L57" t="s">
        <v>20</v>
      </c>
      <c r="M57" t="s">
        <v>31</v>
      </c>
    </row>
    <row r="58" spans="1:13">
      <c r="A58" t="s">
        <v>95</v>
      </c>
      <c r="B58">
        <f t="shared" si="0"/>
        <v>0</v>
      </c>
      <c r="C58" t="s">
        <v>23</v>
      </c>
      <c r="D58" t="s">
        <v>42</v>
      </c>
      <c r="E58">
        <v>45158</v>
      </c>
      <c r="F58" t="s">
        <v>25</v>
      </c>
      <c r="G58" t="s">
        <v>16</v>
      </c>
      <c r="H58" t="s">
        <v>46</v>
      </c>
      <c r="I58" t="s">
        <v>27</v>
      </c>
      <c r="J58" t="s">
        <v>28</v>
      </c>
      <c r="K58" t="s">
        <v>29</v>
      </c>
      <c r="L58" t="s">
        <v>47</v>
      </c>
      <c r="M58" t="s">
        <v>31</v>
      </c>
    </row>
    <row r="59" spans="1:13">
      <c r="A59" t="s">
        <v>96</v>
      </c>
      <c r="B59">
        <f t="shared" si="0"/>
        <v>1</v>
      </c>
      <c r="C59" t="s">
        <v>13</v>
      </c>
      <c r="D59" t="s">
        <v>24</v>
      </c>
      <c r="E59">
        <v>45161</v>
      </c>
      <c r="F59" t="s">
        <v>15</v>
      </c>
      <c r="G59" t="s">
        <v>35</v>
      </c>
      <c r="H59" t="s">
        <v>26</v>
      </c>
      <c r="I59" t="s">
        <v>18</v>
      </c>
      <c r="J59" t="s">
        <v>15</v>
      </c>
      <c r="K59" t="s">
        <v>19</v>
      </c>
      <c r="L59" t="s">
        <v>30</v>
      </c>
      <c r="M59" t="s">
        <v>21</v>
      </c>
    </row>
    <row r="60" spans="1:13">
      <c r="A60" t="s">
        <v>97</v>
      </c>
      <c r="B60">
        <f t="shared" si="0"/>
        <v>0</v>
      </c>
      <c r="C60" t="s">
        <v>13</v>
      </c>
      <c r="D60" t="s">
        <v>33</v>
      </c>
      <c r="E60">
        <v>45164</v>
      </c>
      <c r="F60" t="s">
        <v>34</v>
      </c>
      <c r="G60" t="s">
        <v>16</v>
      </c>
      <c r="H60" t="s">
        <v>26</v>
      </c>
      <c r="I60" t="s">
        <v>18</v>
      </c>
      <c r="J60" t="s">
        <v>28</v>
      </c>
      <c r="K60" t="s">
        <v>19</v>
      </c>
      <c r="L60" t="s">
        <v>30</v>
      </c>
      <c r="M60" t="s">
        <v>21</v>
      </c>
    </row>
    <row r="61" spans="1:13">
      <c r="A61" t="s">
        <v>98</v>
      </c>
      <c r="B61">
        <f t="shared" si="0"/>
        <v>1</v>
      </c>
      <c r="C61" t="s">
        <v>23</v>
      </c>
      <c r="D61" t="s">
        <v>37</v>
      </c>
      <c r="E61">
        <v>45167</v>
      </c>
      <c r="F61" t="s">
        <v>15</v>
      </c>
      <c r="G61" t="s">
        <v>16</v>
      </c>
      <c r="H61" t="s">
        <v>17</v>
      </c>
      <c r="I61" t="s">
        <v>18</v>
      </c>
      <c r="J61" t="s">
        <v>15</v>
      </c>
      <c r="K61" t="s">
        <v>29</v>
      </c>
      <c r="L61" t="s">
        <v>20</v>
      </c>
      <c r="M61" t="s">
        <v>21</v>
      </c>
    </row>
    <row r="62" spans="1:13">
      <c r="A62" t="s">
        <v>99</v>
      </c>
      <c r="B62">
        <f t="shared" si="0"/>
        <v>0</v>
      </c>
      <c r="C62" t="s">
        <v>13</v>
      </c>
      <c r="D62" t="s">
        <v>42</v>
      </c>
      <c r="E62">
        <v>45142</v>
      </c>
      <c r="F62" t="s">
        <v>25</v>
      </c>
      <c r="G62" t="s">
        <v>35</v>
      </c>
      <c r="H62" t="s">
        <v>26</v>
      </c>
      <c r="I62" t="s">
        <v>27</v>
      </c>
      <c r="J62" t="s">
        <v>28</v>
      </c>
      <c r="K62" t="s">
        <v>19</v>
      </c>
      <c r="L62" t="s">
        <v>30</v>
      </c>
      <c r="M62" t="s">
        <v>31</v>
      </c>
    </row>
    <row r="63" spans="1:13">
      <c r="A63" t="s">
        <v>100</v>
      </c>
      <c r="B63">
        <f t="shared" si="0"/>
        <v>0</v>
      </c>
      <c r="C63" t="s">
        <v>13</v>
      </c>
      <c r="D63" t="s">
        <v>14</v>
      </c>
      <c r="E63">
        <v>45145</v>
      </c>
      <c r="F63" t="s">
        <v>38</v>
      </c>
      <c r="G63" t="s">
        <v>35</v>
      </c>
      <c r="H63" t="s">
        <v>26</v>
      </c>
      <c r="I63" t="s">
        <v>18</v>
      </c>
      <c r="J63" t="s">
        <v>28</v>
      </c>
      <c r="K63" t="s">
        <v>19</v>
      </c>
      <c r="L63" t="s">
        <v>30</v>
      </c>
      <c r="M63" t="s">
        <v>21</v>
      </c>
    </row>
    <row r="64" spans="1:13">
      <c r="A64" t="s">
        <v>101</v>
      </c>
      <c r="B64">
        <f t="shared" si="0"/>
        <v>1</v>
      </c>
      <c r="C64" t="s">
        <v>23</v>
      </c>
      <c r="D64" t="s">
        <v>24</v>
      </c>
      <c r="E64">
        <v>45148</v>
      </c>
      <c r="F64" t="s">
        <v>15</v>
      </c>
      <c r="G64" t="s">
        <v>16</v>
      </c>
      <c r="H64" t="s">
        <v>17</v>
      </c>
      <c r="I64" t="s">
        <v>18</v>
      </c>
      <c r="J64" t="s">
        <v>15</v>
      </c>
      <c r="K64" t="s">
        <v>29</v>
      </c>
      <c r="L64" t="s">
        <v>20</v>
      </c>
      <c r="M64" t="s">
        <v>21</v>
      </c>
    </row>
    <row r="65" spans="1:13">
      <c r="A65" t="s">
        <v>102</v>
      </c>
      <c r="B65">
        <f t="shared" si="0"/>
        <v>0</v>
      </c>
      <c r="C65" t="s">
        <v>13</v>
      </c>
      <c r="D65" t="s">
        <v>33</v>
      </c>
      <c r="E65">
        <v>45151</v>
      </c>
      <c r="F65" t="s">
        <v>25</v>
      </c>
      <c r="G65" t="s">
        <v>16</v>
      </c>
      <c r="H65" t="s">
        <v>46</v>
      </c>
      <c r="I65" t="s">
        <v>27</v>
      </c>
      <c r="J65" t="s">
        <v>28</v>
      </c>
      <c r="K65" t="s">
        <v>19</v>
      </c>
      <c r="L65" t="s">
        <v>47</v>
      </c>
      <c r="M65" t="s">
        <v>31</v>
      </c>
    </row>
    <row r="66" spans="1:13">
      <c r="A66" t="s">
        <v>103</v>
      </c>
      <c r="B66">
        <f t="shared" ref="B66:B129" si="1">IF(F66="paid", 1,0)</f>
        <v>1</v>
      </c>
      <c r="C66" t="s">
        <v>23</v>
      </c>
      <c r="D66" t="s">
        <v>37</v>
      </c>
      <c r="E66">
        <v>45154</v>
      </c>
      <c r="F66" t="s">
        <v>15</v>
      </c>
      <c r="G66" t="s">
        <v>35</v>
      </c>
      <c r="H66" t="s">
        <v>26</v>
      </c>
      <c r="I66" t="s">
        <v>18</v>
      </c>
      <c r="J66" t="s">
        <v>15</v>
      </c>
      <c r="K66" t="s">
        <v>29</v>
      </c>
      <c r="L66" t="s">
        <v>30</v>
      </c>
      <c r="M66" t="s">
        <v>21</v>
      </c>
    </row>
    <row r="67" spans="1:13">
      <c r="A67" t="s">
        <v>104</v>
      </c>
      <c r="B67">
        <f t="shared" si="1"/>
        <v>0</v>
      </c>
      <c r="C67" t="s">
        <v>13</v>
      </c>
      <c r="D67" t="s">
        <v>40</v>
      </c>
      <c r="E67">
        <v>45157</v>
      </c>
      <c r="F67" t="s">
        <v>34</v>
      </c>
      <c r="G67" t="s">
        <v>16</v>
      </c>
      <c r="H67" t="s">
        <v>26</v>
      </c>
      <c r="I67" t="s">
        <v>18</v>
      </c>
      <c r="J67" t="s">
        <v>28</v>
      </c>
      <c r="K67" t="s">
        <v>19</v>
      </c>
      <c r="L67" t="s">
        <v>30</v>
      </c>
      <c r="M67" t="s">
        <v>21</v>
      </c>
    </row>
    <row r="68" spans="1:13">
      <c r="A68" t="s">
        <v>105</v>
      </c>
      <c r="B68">
        <f t="shared" si="1"/>
        <v>1</v>
      </c>
      <c r="C68" t="s">
        <v>23</v>
      </c>
      <c r="D68" t="s">
        <v>42</v>
      </c>
      <c r="E68">
        <v>45160</v>
      </c>
      <c r="F68" t="s">
        <v>15</v>
      </c>
      <c r="G68" t="s">
        <v>16</v>
      </c>
      <c r="H68" t="s">
        <v>17</v>
      </c>
      <c r="I68" t="s">
        <v>18</v>
      </c>
      <c r="J68" t="s">
        <v>15</v>
      </c>
      <c r="K68" t="s">
        <v>29</v>
      </c>
      <c r="L68" t="s">
        <v>20</v>
      </c>
      <c r="M68" t="s">
        <v>21</v>
      </c>
    </row>
    <row r="69" spans="1:13">
      <c r="A69" t="s">
        <v>106</v>
      </c>
      <c r="B69">
        <f t="shared" si="1"/>
        <v>0</v>
      </c>
      <c r="C69" t="s">
        <v>13</v>
      </c>
      <c r="D69" t="s">
        <v>14</v>
      </c>
      <c r="E69">
        <v>45163</v>
      </c>
      <c r="F69" t="s">
        <v>38</v>
      </c>
      <c r="G69" t="s">
        <v>35</v>
      </c>
      <c r="H69" t="s">
        <v>26</v>
      </c>
      <c r="I69" t="s">
        <v>18</v>
      </c>
      <c r="J69" t="s">
        <v>28</v>
      </c>
      <c r="K69" t="s">
        <v>19</v>
      </c>
      <c r="L69" t="s">
        <v>30</v>
      </c>
      <c r="M69" t="s">
        <v>21</v>
      </c>
    </row>
    <row r="70" spans="1:13">
      <c r="A70" t="s">
        <v>107</v>
      </c>
      <c r="B70">
        <f t="shared" si="1"/>
        <v>1</v>
      </c>
      <c r="C70" t="s">
        <v>23</v>
      </c>
      <c r="D70" t="s">
        <v>37</v>
      </c>
      <c r="E70">
        <v>45166</v>
      </c>
      <c r="F70" t="s">
        <v>15</v>
      </c>
      <c r="G70" t="s">
        <v>16</v>
      </c>
      <c r="H70" t="s">
        <v>17</v>
      </c>
      <c r="I70" t="s">
        <v>18</v>
      </c>
      <c r="J70" t="s">
        <v>15</v>
      </c>
      <c r="K70" t="s">
        <v>29</v>
      </c>
      <c r="L70" t="s">
        <v>20</v>
      </c>
      <c r="M70" t="s">
        <v>21</v>
      </c>
    </row>
    <row r="71" spans="1:13">
      <c r="A71" t="s">
        <v>108</v>
      </c>
      <c r="B71">
        <f t="shared" si="1"/>
        <v>0</v>
      </c>
      <c r="C71" t="s">
        <v>13</v>
      </c>
      <c r="D71" t="s">
        <v>40</v>
      </c>
      <c r="E71">
        <v>45139</v>
      </c>
      <c r="F71" t="s">
        <v>34</v>
      </c>
      <c r="G71" t="s">
        <v>35</v>
      </c>
      <c r="H71" t="s">
        <v>17</v>
      </c>
      <c r="I71" t="s">
        <v>27</v>
      </c>
      <c r="J71" t="s">
        <v>28</v>
      </c>
      <c r="K71" t="s">
        <v>19</v>
      </c>
      <c r="L71" t="s">
        <v>20</v>
      </c>
      <c r="M71" t="s">
        <v>31</v>
      </c>
    </row>
    <row r="72" spans="1:13">
      <c r="A72" t="s">
        <v>109</v>
      </c>
      <c r="B72">
        <f t="shared" si="1"/>
        <v>1</v>
      </c>
      <c r="C72" t="s">
        <v>23</v>
      </c>
      <c r="D72" t="s">
        <v>42</v>
      </c>
      <c r="E72">
        <v>45141</v>
      </c>
      <c r="F72" t="s">
        <v>15</v>
      </c>
      <c r="G72" t="s">
        <v>16</v>
      </c>
      <c r="H72" t="s">
        <v>17</v>
      </c>
      <c r="I72" t="s">
        <v>18</v>
      </c>
      <c r="J72" t="s">
        <v>15</v>
      </c>
      <c r="K72" t="s">
        <v>29</v>
      </c>
      <c r="L72" t="s">
        <v>20</v>
      </c>
      <c r="M72" t="s">
        <v>21</v>
      </c>
    </row>
    <row r="73" spans="1:13">
      <c r="A73" t="s">
        <v>110</v>
      </c>
      <c r="B73">
        <f t="shared" si="1"/>
        <v>0</v>
      </c>
      <c r="C73" t="s">
        <v>13</v>
      </c>
      <c r="D73" t="s">
        <v>14</v>
      </c>
      <c r="E73">
        <v>45144</v>
      </c>
      <c r="F73" t="s">
        <v>25</v>
      </c>
      <c r="G73" t="s">
        <v>35</v>
      </c>
      <c r="H73" t="s">
        <v>26</v>
      </c>
      <c r="I73" t="s">
        <v>27</v>
      </c>
      <c r="J73" t="s">
        <v>28</v>
      </c>
      <c r="K73" t="s">
        <v>19</v>
      </c>
      <c r="L73" t="s">
        <v>30</v>
      </c>
      <c r="M73" t="s">
        <v>31</v>
      </c>
    </row>
    <row r="74" spans="1:13">
      <c r="A74" t="s">
        <v>111</v>
      </c>
      <c r="B74">
        <f t="shared" si="1"/>
        <v>0</v>
      </c>
      <c r="C74" t="s">
        <v>23</v>
      </c>
      <c r="D74" t="s">
        <v>24</v>
      </c>
      <c r="E74">
        <v>45147</v>
      </c>
      <c r="F74" t="s">
        <v>34</v>
      </c>
      <c r="G74" t="s">
        <v>16</v>
      </c>
      <c r="H74" t="s">
        <v>17</v>
      </c>
      <c r="I74" t="s">
        <v>18</v>
      </c>
      <c r="J74" t="s">
        <v>28</v>
      </c>
      <c r="K74" t="s">
        <v>29</v>
      </c>
      <c r="L74" t="s">
        <v>20</v>
      </c>
      <c r="M74" t="s">
        <v>21</v>
      </c>
    </row>
    <row r="75" spans="1:13">
      <c r="A75" t="s">
        <v>112</v>
      </c>
      <c r="B75">
        <f t="shared" si="1"/>
        <v>1</v>
      </c>
      <c r="C75" t="s">
        <v>13</v>
      </c>
      <c r="D75" t="s">
        <v>33</v>
      </c>
      <c r="E75">
        <v>45150</v>
      </c>
      <c r="F75" t="s">
        <v>15</v>
      </c>
      <c r="G75" t="s">
        <v>35</v>
      </c>
      <c r="H75" t="s">
        <v>26</v>
      </c>
      <c r="I75" t="s">
        <v>18</v>
      </c>
      <c r="J75" t="s">
        <v>15</v>
      </c>
      <c r="K75" t="s">
        <v>19</v>
      </c>
      <c r="L75" t="s">
        <v>30</v>
      </c>
      <c r="M75" t="s">
        <v>21</v>
      </c>
    </row>
    <row r="76" spans="1:13">
      <c r="A76" t="s">
        <v>113</v>
      </c>
      <c r="B76">
        <f t="shared" si="1"/>
        <v>0</v>
      </c>
      <c r="C76" t="s">
        <v>13</v>
      </c>
      <c r="D76" t="s">
        <v>37</v>
      </c>
      <c r="E76">
        <v>45153</v>
      </c>
      <c r="F76" t="s">
        <v>38</v>
      </c>
      <c r="G76" t="s">
        <v>35</v>
      </c>
      <c r="H76" t="s">
        <v>17</v>
      </c>
      <c r="I76" t="s">
        <v>18</v>
      </c>
      <c r="J76" t="s">
        <v>28</v>
      </c>
      <c r="K76" t="s">
        <v>19</v>
      </c>
      <c r="L76" t="s">
        <v>20</v>
      </c>
      <c r="M76" t="s">
        <v>21</v>
      </c>
    </row>
    <row r="77" spans="1:13">
      <c r="A77" t="s">
        <v>114</v>
      </c>
      <c r="B77">
        <f t="shared" si="1"/>
        <v>1</v>
      </c>
      <c r="C77" t="s">
        <v>23</v>
      </c>
      <c r="D77" t="s">
        <v>40</v>
      </c>
      <c r="E77">
        <v>45156</v>
      </c>
      <c r="F77" t="s">
        <v>15</v>
      </c>
      <c r="G77" t="s">
        <v>16</v>
      </c>
      <c r="H77" t="s">
        <v>17</v>
      </c>
      <c r="I77" t="s">
        <v>18</v>
      </c>
      <c r="J77" t="s">
        <v>15</v>
      </c>
      <c r="K77" t="s">
        <v>29</v>
      </c>
      <c r="L77" t="s">
        <v>20</v>
      </c>
      <c r="M77" t="s">
        <v>21</v>
      </c>
    </row>
    <row r="78" spans="1:13">
      <c r="A78" t="s">
        <v>115</v>
      </c>
      <c r="B78">
        <f t="shared" si="1"/>
        <v>0</v>
      </c>
      <c r="C78" t="s">
        <v>13</v>
      </c>
      <c r="D78" t="s">
        <v>42</v>
      </c>
      <c r="E78">
        <v>45159</v>
      </c>
      <c r="F78" t="s">
        <v>34</v>
      </c>
      <c r="G78" t="s">
        <v>16</v>
      </c>
      <c r="H78" t="s">
        <v>26</v>
      </c>
      <c r="I78" t="s">
        <v>27</v>
      </c>
      <c r="J78" t="s">
        <v>28</v>
      </c>
      <c r="K78" t="s">
        <v>19</v>
      </c>
      <c r="L78" t="s">
        <v>30</v>
      </c>
      <c r="M78" t="s">
        <v>31</v>
      </c>
    </row>
    <row r="79" spans="1:13">
      <c r="A79" t="s">
        <v>116</v>
      </c>
      <c r="B79">
        <f t="shared" si="1"/>
        <v>0</v>
      </c>
      <c r="C79" t="s">
        <v>13</v>
      </c>
      <c r="D79" t="s">
        <v>14</v>
      </c>
      <c r="E79">
        <v>45162</v>
      </c>
      <c r="F79" t="s">
        <v>38</v>
      </c>
      <c r="G79" t="s">
        <v>35</v>
      </c>
      <c r="H79" t="s">
        <v>26</v>
      </c>
      <c r="I79" t="s">
        <v>18</v>
      </c>
      <c r="J79" t="s">
        <v>28</v>
      </c>
      <c r="K79" t="s">
        <v>19</v>
      </c>
      <c r="L79" t="s">
        <v>30</v>
      </c>
      <c r="M79" t="s">
        <v>21</v>
      </c>
    </row>
    <row r="80" spans="1:13">
      <c r="A80" t="s">
        <v>117</v>
      </c>
      <c r="B80">
        <f t="shared" si="1"/>
        <v>1</v>
      </c>
      <c r="C80" t="s">
        <v>23</v>
      </c>
      <c r="D80" t="s">
        <v>24</v>
      </c>
      <c r="E80">
        <v>45165</v>
      </c>
      <c r="F80" t="s">
        <v>15</v>
      </c>
      <c r="G80" t="s">
        <v>16</v>
      </c>
      <c r="H80" t="s">
        <v>17</v>
      </c>
      <c r="I80" t="s">
        <v>18</v>
      </c>
      <c r="J80" t="s">
        <v>15</v>
      </c>
      <c r="K80" t="s">
        <v>29</v>
      </c>
      <c r="L80" t="s">
        <v>20</v>
      </c>
      <c r="M80" t="s">
        <v>21</v>
      </c>
    </row>
    <row r="81" spans="1:13">
      <c r="A81" t="s">
        <v>118</v>
      </c>
      <c r="B81">
        <f t="shared" si="1"/>
        <v>0</v>
      </c>
      <c r="C81" t="s">
        <v>13</v>
      </c>
      <c r="D81" t="s">
        <v>33</v>
      </c>
      <c r="E81">
        <v>45168</v>
      </c>
      <c r="F81" t="s">
        <v>25</v>
      </c>
      <c r="G81" t="s">
        <v>16</v>
      </c>
      <c r="H81" t="s">
        <v>46</v>
      </c>
      <c r="I81" t="s">
        <v>27</v>
      </c>
      <c r="J81" t="s">
        <v>28</v>
      </c>
      <c r="K81" t="s">
        <v>19</v>
      </c>
      <c r="L81" t="s">
        <v>47</v>
      </c>
      <c r="M81" t="s">
        <v>31</v>
      </c>
    </row>
    <row r="82" spans="1:13">
      <c r="A82" t="s">
        <v>119</v>
      </c>
      <c r="B82">
        <f t="shared" si="1"/>
        <v>1</v>
      </c>
      <c r="C82" t="s">
        <v>23</v>
      </c>
      <c r="D82" t="s">
        <v>37</v>
      </c>
      <c r="E82">
        <v>45140</v>
      </c>
      <c r="F82" t="s">
        <v>15</v>
      </c>
      <c r="G82" t="s">
        <v>35</v>
      </c>
      <c r="H82" t="s">
        <v>26</v>
      </c>
      <c r="I82" t="s">
        <v>18</v>
      </c>
      <c r="J82" t="s">
        <v>15</v>
      </c>
      <c r="K82" t="s">
        <v>29</v>
      </c>
      <c r="L82" t="s">
        <v>30</v>
      </c>
      <c r="M82" t="s">
        <v>21</v>
      </c>
    </row>
    <row r="83" spans="1:13">
      <c r="A83" t="s">
        <v>120</v>
      </c>
      <c r="B83">
        <f t="shared" si="1"/>
        <v>0</v>
      </c>
      <c r="C83" t="s">
        <v>13</v>
      </c>
      <c r="D83" t="s">
        <v>40</v>
      </c>
      <c r="E83">
        <v>45143</v>
      </c>
      <c r="F83" t="s">
        <v>34</v>
      </c>
      <c r="G83" t="s">
        <v>16</v>
      </c>
      <c r="H83" t="s">
        <v>26</v>
      </c>
      <c r="I83" t="s">
        <v>18</v>
      </c>
      <c r="J83" t="s">
        <v>28</v>
      </c>
      <c r="K83" t="s">
        <v>19</v>
      </c>
      <c r="L83" t="s">
        <v>30</v>
      </c>
      <c r="M83" t="s">
        <v>21</v>
      </c>
    </row>
    <row r="84" spans="1:13">
      <c r="A84" t="s">
        <v>121</v>
      </c>
      <c r="B84">
        <f t="shared" si="1"/>
        <v>1</v>
      </c>
      <c r="C84" t="s">
        <v>23</v>
      </c>
      <c r="D84" t="s">
        <v>42</v>
      </c>
      <c r="E84">
        <v>45146</v>
      </c>
      <c r="F84" t="s">
        <v>15</v>
      </c>
      <c r="G84" t="s">
        <v>16</v>
      </c>
      <c r="H84" t="s">
        <v>17</v>
      </c>
      <c r="I84" t="s">
        <v>18</v>
      </c>
      <c r="J84" t="s">
        <v>15</v>
      </c>
      <c r="K84" t="s">
        <v>29</v>
      </c>
      <c r="L84" t="s">
        <v>20</v>
      </c>
      <c r="M84" t="s">
        <v>21</v>
      </c>
    </row>
    <row r="85" spans="1:13">
      <c r="A85" t="s">
        <v>122</v>
      </c>
      <c r="B85">
        <f t="shared" si="1"/>
        <v>0</v>
      </c>
      <c r="C85" t="s">
        <v>13</v>
      </c>
      <c r="D85" t="s">
        <v>14</v>
      </c>
      <c r="E85">
        <v>45149</v>
      </c>
      <c r="F85" t="s">
        <v>38</v>
      </c>
      <c r="G85" t="s">
        <v>35</v>
      </c>
      <c r="H85" t="s">
        <v>26</v>
      </c>
      <c r="I85" t="s">
        <v>18</v>
      </c>
      <c r="J85" t="s">
        <v>28</v>
      </c>
      <c r="K85" t="s">
        <v>19</v>
      </c>
      <c r="L85" t="s">
        <v>30</v>
      </c>
      <c r="M85" t="s">
        <v>21</v>
      </c>
    </row>
    <row r="86" spans="1:13">
      <c r="A86" t="s">
        <v>123</v>
      </c>
      <c r="B86">
        <f t="shared" si="1"/>
        <v>1</v>
      </c>
      <c r="C86" t="s">
        <v>23</v>
      </c>
      <c r="D86" t="s">
        <v>37</v>
      </c>
      <c r="E86">
        <v>45152</v>
      </c>
      <c r="F86" t="s">
        <v>15</v>
      </c>
      <c r="G86" t="s">
        <v>16</v>
      </c>
      <c r="H86" t="s">
        <v>17</v>
      </c>
      <c r="I86" t="s">
        <v>18</v>
      </c>
      <c r="J86" t="s">
        <v>15</v>
      </c>
      <c r="K86" t="s">
        <v>29</v>
      </c>
      <c r="L86" t="s">
        <v>20</v>
      </c>
      <c r="M86" t="s">
        <v>21</v>
      </c>
    </row>
    <row r="87" spans="1:13">
      <c r="A87" t="s">
        <v>124</v>
      </c>
      <c r="B87">
        <f t="shared" si="1"/>
        <v>0</v>
      </c>
      <c r="C87" t="s">
        <v>13</v>
      </c>
      <c r="D87" t="s">
        <v>40</v>
      </c>
      <c r="E87">
        <v>45155</v>
      </c>
      <c r="F87" t="s">
        <v>34</v>
      </c>
      <c r="G87" t="s">
        <v>35</v>
      </c>
      <c r="H87" t="s">
        <v>17</v>
      </c>
      <c r="I87" t="s">
        <v>27</v>
      </c>
      <c r="J87" t="s">
        <v>28</v>
      </c>
      <c r="K87" t="s">
        <v>19</v>
      </c>
      <c r="L87" t="s">
        <v>20</v>
      </c>
      <c r="M87" t="s">
        <v>31</v>
      </c>
    </row>
    <row r="88" spans="1:13">
      <c r="A88" t="s">
        <v>125</v>
      </c>
      <c r="B88">
        <f t="shared" si="1"/>
        <v>0</v>
      </c>
      <c r="C88" t="s">
        <v>23</v>
      </c>
      <c r="D88" t="s">
        <v>42</v>
      </c>
      <c r="E88">
        <v>45158</v>
      </c>
      <c r="F88" t="s">
        <v>25</v>
      </c>
      <c r="G88" t="s">
        <v>16</v>
      </c>
      <c r="H88" t="s">
        <v>46</v>
      </c>
      <c r="I88" t="s">
        <v>27</v>
      </c>
      <c r="J88" t="s">
        <v>28</v>
      </c>
      <c r="K88" t="s">
        <v>29</v>
      </c>
      <c r="L88" t="s">
        <v>47</v>
      </c>
      <c r="M88" t="s">
        <v>31</v>
      </c>
    </row>
    <row r="89" spans="1:13">
      <c r="A89" t="s">
        <v>126</v>
      </c>
      <c r="B89">
        <f t="shared" si="1"/>
        <v>1</v>
      </c>
      <c r="C89" t="s">
        <v>13</v>
      </c>
      <c r="D89" t="s">
        <v>24</v>
      </c>
      <c r="E89">
        <v>45161</v>
      </c>
      <c r="F89" t="s">
        <v>15</v>
      </c>
      <c r="G89" t="s">
        <v>35</v>
      </c>
      <c r="H89" t="s">
        <v>26</v>
      </c>
      <c r="I89" t="s">
        <v>18</v>
      </c>
      <c r="J89" t="s">
        <v>15</v>
      </c>
      <c r="K89" t="s">
        <v>19</v>
      </c>
      <c r="L89" t="s">
        <v>30</v>
      </c>
      <c r="M89" t="s">
        <v>21</v>
      </c>
    </row>
    <row r="90" spans="1:13">
      <c r="A90" t="s">
        <v>127</v>
      </c>
      <c r="B90">
        <f t="shared" si="1"/>
        <v>0</v>
      </c>
      <c r="C90" t="s">
        <v>13</v>
      </c>
      <c r="D90" t="s">
        <v>33</v>
      </c>
      <c r="E90">
        <v>45164</v>
      </c>
      <c r="F90" t="s">
        <v>34</v>
      </c>
      <c r="G90" t="s">
        <v>16</v>
      </c>
      <c r="H90" t="s">
        <v>26</v>
      </c>
      <c r="I90" t="s">
        <v>18</v>
      </c>
      <c r="J90" t="s">
        <v>28</v>
      </c>
      <c r="K90" t="s">
        <v>19</v>
      </c>
      <c r="L90" t="s">
        <v>30</v>
      </c>
      <c r="M90" t="s">
        <v>21</v>
      </c>
    </row>
    <row r="91" spans="1:13">
      <c r="A91" t="s">
        <v>128</v>
      </c>
      <c r="B91">
        <f t="shared" si="1"/>
        <v>1</v>
      </c>
      <c r="C91" t="s">
        <v>23</v>
      </c>
      <c r="D91" t="s">
        <v>37</v>
      </c>
      <c r="E91">
        <v>45167</v>
      </c>
      <c r="F91" t="s">
        <v>15</v>
      </c>
      <c r="G91" t="s">
        <v>16</v>
      </c>
      <c r="H91" t="s">
        <v>17</v>
      </c>
      <c r="I91" t="s">
        <v>18</v>
      </c>
      <c r="J91" t="s">
        <v>15</v>
      </c>
      <c r="K91" t="s">
        <v>29</v>
      </c>
      <c r="L91" t="s">
        <v>20</v>
      </c>
      <c r="M91" t="s">
        <v>21</v>
      </c>
    </row>
    <row r="92" spans="1:13">
      <c r="A92" t="s">
        <v>129</v>
      </c>
      <c r="B92">
        <f t="shared" si="1"/>
        <v>0</v>
      </c>
      <c r="C92" t="s">
        <v>13</v>
      </c>
      <c r="D92" t="s">
        <v>42</v>
      </c>
      <c r="E92">
        <v>45142</v>
      </c>
      <c r="F92" t="s">
        <v>25</v>
      </c>
      <c r="G92" t="s">
        <v>35</v>
      </c>
      <c r="H92" t="s">
        <v>26</v>
      </c>
      <c r="I92" t="s">
        <v>27</v>
      </c>
      <c r="J92" t="s">
        <v>28</v>
      </c>
      <c r="K92" t="s">
        <v>19</v>
      </c>
      <c r="L92" t="s">
        <v>30</v>
      </c>
      <c r="M92" t="s">
        <v>31</v>
      </c>
    </row>
    <row r="93" spans="1:13">
      <c r="A93" t="s">
        <v>130</v>
      </c>
      <c r="B93">
        <f t="shared" si="1"/>
        <v>0</v>
      </c>
      <c r="C93" t="s">
        <v>13</v>
      </c>
      <c r="D93" t="s">
        <v>14</v>
      </c>
      <c r="E93">
        <v>45145</v>
      </c>
      <c r="F93" t="s">
        <v>38</v>
      </c>
      <c r="G93" t="s">
        <v>35</v>
      </c>
      <c r="H93" t="s">
        <v>26</v>
      </c>
      <c r="I93" t="s">
        <v>18</v>
      </c>
      <c r="J93" t="s">
        <v>28</v>
      </c>
      <c r="K93" t="s">
        <v>19</v>
      </c>
      <c r="L93" t="s">
        <v>30</v>
      </c>
      <c r="M93" t="s">
        <v>21</v>
      </c>
    </row>
    <row r="94" spans="1:13">
      <c r="A94" t="s">
        <v>131</v>
      </c>
      <c r="B94">
        <f t="shared" si="1"/>
        <v>1</v>
      </c>
      <c r="C94" t="s">
        <v>23</v>
      </c>
      <c r="D94" t="s">
        <v>24</v>
      </c>
      <c r="E94">
        <v>45148</v>
      </c>
      <c r="F94" t="s">
        <v>15</v>
      </c>
      <c r="G94" t="s">
        <v>16</v>
      </c>
      <c r="H94" t="s">
        <v>17</v>
      </c>
      <c r="I94" t="s">
        <v>18</v>
      </c>
      <c r="J94" t="s">
        <v>15</v>
      </c>
      <c r="K94" t="s">
        <v>29</v>
      </c>
      <c r="L94" t="s">
        <v>20</v>
      </c>
      <c r="M94" t="s">
        <v>21</v>
      </c>
    </row>
    <row r="95" spans="1:13">
      <c r="A95" t="s">
        <v>132</v>
      </c>
      <c r="B95">
        <f t="shared" si="1"/>
        <v>0</v>
      </c>
      <c r="C95" t="s">
        <v>13</v>
      </c>
      <c r="D95" t="s">
        <v>33</v>
      </c>
      <c r="E95">
        <v>45151</v>
      </c>
      <c r="F95" t="s">
        <v>25</v>
      </c>
      <c r="G95" t="s">
        <v>16</v>
      </c>
      <c r="H95" t="s">
        <v>46</v>
      </c>
      <c r="I95" t="s">
        <v>27</v>
      </c>
      <c r="J95" t="s">
        <v>28</v>
      </c>
      <c r="K95" t="s">
        <v>19</v>
      </c>
      <c r="L95" t="s">
        <v>47</v>
      </c>
      <c r="M95" t="s">
        <v>31</v>
      </c>
    </row>
    <row r="96" spans="1:13">
      <c r="A96" t="s">
        <v>133</v>
      </c>
      <c r="B96">
        <f t="shared" si="1"/>
        <v>1</v>
      </c>
      <c r="C96" t="s">
        <v>23</v>
      </c>
      <c r="D96" t="s">
        <v>37</v>
      </c>
      <c r="E96">
        <v>45154</v>
      </c>
      <c r="F96" t="s">
        <v>15</v>
      </c>
      <c r="G96" t="s">
        <v>35</v>
      </c>
      <c r="H96" t="s">
        <v>26</v>
      </c>
      <c r="I96" t="s">
        <v>18</v>
      </c>
      <c r="J96" t="s">
        <v>15</v>
      </c>
      <c r="K96" t="s">
        <v>29</v>
      </c>
      <c r="L96" t="s">
        <v>30</v>
      </c>
      <c r="M96" t="s">
        <v>21</v>
      </c>
    </row>
    <row r="97" spans="1:13">
      <c r="A97" t="s">
        <v>134</v>
      </c>
      <c r="B97">
        <f t="shared" si="1"/>
        <v>0</v>
      </c>
      <c r="C97" t="s">
        <v>13</v>
      </c>
      <c r="D97" t="s">
        <v>40</v>
      </c>
      <c r="E97">
        <v>45157</v>
      </c>
      <c r="F97" t="s">
        <v>34</v>
      </c>
      <c r="G97" t="s">
        <v>16</v>
      </c>
      <c r="H97" t="s">
        <v>26</v>
      </c>
      <c r="I97" t="s">
        <v>18</v>
      </c>
      <c r="J97" t="s">
        <v>28</v>
      </c>
      <c r="K97" t="s">
        <v>19</v>
      </c>
      <c r="L97" t="s">
        <v>30</v>
      </c>
      <c r="M97" t="s">
        <v>21</v>
      </c>
    </row>
    <row r="98" spans="1:13">
      <c r="A98" t="s">
        <v>135</v>
      </c>
      <c r="B98">
        <f t="shared" si="1"/>
        <v>1</v>
      </c>
      <c r="C98" t="s">
        <v>23</v>
      </c>
      <c r="D98" t="s">
        <v>42</v>
      </c>
      <c r="E98">
        <v>45160</v>
      </c>
      <c r="F98" t="s">
        <v>15</v>
      </c>
      <c r="G98" t="s">
        <v>16</v>
      </c>
      <c r="H98" t="s">
        <v>17</v>
      </c>
      <c r="I98" t="s">
        <v>18</v>
      </c>
      <c r="J98" t="s">
        <v>15</v>
      </c>
      <c r="K98" t="s">
        <v>29</v>
      </c>
      <c r="L98" t="s">
        <v>20</v>
      </c>
      <c r="M98" t="s">
        <v>21</v>
      </c>
    </row>
    <row r="99" spans="1:13">
      <c r="A99" t="s">
        <v>136</v>
      </c>
      <c r="B99">
        <f t="shared" si="1"/>
        <v>0</v>
      </c>
      <c r="C99" t="s">
        <v>13</v>
      </c>
      <c r="D99" t="s">
        <v>14</v>
      </c>
      <c r="E99">
        <v>45163</v>
      </c>
      <c r="F99" t="s">
        <v>38</v>
      </c>
      <c r="G99" t="s">
        <v>35</v>
      </c>
      <c r="H99" t="s">
        <v>26</v>
      </c>
      <c r="I99" t="s">
        <v>18</v>
      </c>
      <c r="J99" t="s">
        <v>28</v>
      </c>
      <c r="K99" t="s">
        <v>19</v>
      </c>
      <c r="L99" t="s">
        <v>30</v>
      </c>
      <c r="M99" t="s">
        <v>21</v>
      </c>
    </row>
    <row r="100" spans="1:13">
      <c r="A100" t="s">
        <v>137</v>
      </c>
      <c r="B100">
        <f t="shared" si="1"/>
        <v>1</v>
      </c>
      <c r="C100" t="s">
        <v>23</v>
      </c>
      <c r="D100" t="s">
        <v>37</v>
      </c>
      <c r="E100">
        <v>45166</v>
      </c>
      <c r="F100" t="s">
        <v>15</v>
      </c>
      <c r="G100" t="s">
        <v>16</v>
      </c>
      <c r="H100" t="s">
        <v>17</v>
      </c>
      <c r="I100" t="s">
        <v>18</v>
      </c>
      <c r="J100" t="s">
        <v>15</v>
      </c>
      <c r="K100" t="s">
        <v>29</v>
      </c>
      <c r="L100" t="s">
        <v>20</v>
      </c>
      <c r="M100" t="s">
        <v>21</v>
      </c>
    </row>
    <row r="101" spans="1:13">
      <c r="A101" t="s">
        <v>138</v>
      </c>
      <c r="B101">
        <f t="shared" si="1"/>
        <v>0</v>
      </c>
      <c r="C101" t="s">
        <v>13</v>
      </c>
      <c r="D101" t="s">
        <v>40</v>
      </c>
      <c r="E101">
        <v>45139</v>
      </c>
      <c r="F101" t="s">
        <v>34</v>
      </c>
      <c r="G101" t="s">
        <v>35</v>
      </c>
      <c r="H101" t="s">
        <v>17</v>
      </c>
      <c r="I101" t="s">
        <v>27</v>
      </c>
      <c r="J101" t="s">
        <v>28</v>
      </c>
      <c r="K101" t="s">
        <v>19</v>
      </c>
      <c r="L101" t="s">
        <v>20</v>
      </c>
      <c r="M101" t="s">
        <v>31</v>
      </c>
    </row>
    <row r="102" spans="1:13">
      <c r="A102" t="s">
        <v>139</v>
      </c>
      <c r="B102">
        <f t="shared" si="1"/>
        <v>1</v>
      </c>
      <c r="C102" t="s">
        <v>23</v>
      </c>
      <c r="D102" t="s">
        <v>42</v>
      </c>
      <c r="E102">
        <v>45141</v>
      </c>
      <c r="F102" t="s">
        <v>15</v>
      </c>
      <c r="G102" t="s">
        <v>16</v>
      </c>
      <c r="H102" t="s">
        <v>17</v>
      </c>
      <c r="I102" t="s">
        <v>18</v>
      </c>
      <c r="J102" t="s">
        <v>15</v>
      </c>
      <c r="K102" t="s">
        <v>29</v>
      </c>
      <c r="L102" t="s">
        <v>20</v>
      </c>
      <c r="M102" t="s">
        <v>21</v>
      </c>
    </row>
    <row r="103" spans="1:13">
      <c r="A103" t="s">
        <v>140</v>
      </c>
      <c r="B103">
        <f t="shared" si="1"/>
        <v>0</v>
      </c>
      <c r="C103" t="s">
        <v>13</v>
      </c>
      <c r="D103" t="s">
        <v>14</v>
      </c>
      <c r="E103">
        <v>45144</v>
      </c>
      <c r="F103" t="s">
        <v>25</v>
      </c>
      <c r="G103" t="s">
        <v>35</v>
      </c>
      <c r="H103" t="s">
        <v>26</v>
      </c>
      <c r="I103" t="s">
        <v>27</v>
      </c>
      <c r="J103" t="s">
        <v>28</v>
      </c>
      <c r="K103" t="s">
        <v>19</v>
      </c>
      <c r="L103" t="s">
        <v>30</v>
      </c>
      <c r="M103" t="s">
        <v>31</v>
      </c>
    </row>
    <row r="104" spans="1:13">
      <c r="A104" t="s">
        <v>141</v>
      </c>
      <c r="B104">
        <f t="shared" si="1"/>
        <v>0</v>
      </c>
      <c r="C104" t="s">
        <v>23</v>
      </c>
      <c r="D104" t="s">
        <v>24</v>
      </c>
      <c r="E104">
        <v>45147</v>
      </c>
      <c r="F104" t="s">
        <v>34</v>
      </c>
      <c r="G104" t="s">
        <v>16</v>
      </c>
      <c r="H104" t="s">
        <v>17</v>
      </c>
      <c r="I104" t="s">
        <v>18</v>
      </c>
      <c r="J104" t="s">
        <v>28</v>
      </c>
      <c r="K104" t="s">
        <v>29</v>
      </c>
      <c r="L104" t="s">
        <v>20</v>
      </c>
      <c r="M104" t="s">
        <v>21</v>
      </c>
    </row>
    <row r="105" spans="1:13">
      <c r="A105" t="s">
        <v>142</v>
      </c>
      <c r="B105">
        <f t="shared" si="1"/>
        <v>1</v>
      </c>
      <c r="C105" t="s">
        <v>13</v>
      </c>
      <c r="D105" t="s">
        <v>33</v>
      </c>
      <c r="E105">
        <v>45150</v>
      </c>
      <c r="F105" t="s">
        <v>15</v>
      </c>
      <c r="G105" t="s">
        <v>35</v>
      </c>
      <c r="H105" t="s">
        <v>26</v>
      </c>
      <c r="I105" t="s">
        <v>18</v>
      </c>
      <c r="J105" t="s">
        <v>15</v>
      </c>
      <c r="K105" t="s">
        <v>19</v>
      </c>
      <c r="L105" t="s">
        <v>30</v>
      </c>
      <c r="M105" t="s">
        <v>21</v>
      </c>
    </row>
    <row r="106" spans="1:13">
      <c r="A106" t="s">
        <v>143</v>
      </c>
      <c r="B106">
        <f t="shared" si="1"/>
        <v>0</v>
      </c>
      <c r="C106" t="s">
        <v>13</v>
      </c>
      <c r="D106" t="s">
        <v>37</v>
      </c>
      <c r="E106">
        <v>45153</v>
      </c>
      <c r="F106" t="s">
        <v>38</v>
      </c>
      <c r="G106" t="s">
        <v>35</v>
      </c>
      <c r="H106" t="s">
        <v>17</v>
      </c>
      <c r="I106" t="s">
        <v>18</v>
      </c>
      <c r="J106" t="s">
        <v>28</v>
      </c>
      <c r="K106" t="s">
        <v>19</v>
      </c>
      <c r="L106" t="s">
        <v>20</v>
      </c>
      <c r="M106" t="s">
        <v>21</v>
      </c>
    </row>
    <row r="107" spans="1:13">
      <c r="A107" t="s">
        <v>144</v>
      </c>
      <c r="B107">
        <f t="shared" si="1"/>
        <v>1</v>
      </c>
      <c r="C107" t="s">
        <v>23</v>
      </c>
      <c r="D107" t="s">
        <v>40</v>
      </c>
      <c r="E107">
        <v>45156</v>
      </c>
      <c r="F107" t="s">
        <v>15</v>
      </c>
      <c r="G107" t="s">
        <v>16</v>
      </c>
      <c r="H107" t="s">
        <v>17</v>
      </c>
      <c r="I107" t="s">
        <v>18</v>
      </c>
      <c r="J107" t="s">
        <v>15</v>
      </c>
      <c r="K107" t="s">
        <v>29</v>
      </c>
      <c r="L107" t="s">
        <v>20</v>
      </c>
      <c r="M107" t="s">
        <v>21</v>
      </c>
    </row>
    <row r="108" spans="1:13">
      <c r="A108" t="s">
        <v>145</v>
      </c>
      <c r="B108">
        <f t="shared" si="1"/>
        <v>0</v>
      </c>
      <c r="C108" t="s">
        <v>13</v>
      </c>
      <c r="D108" t="s">
        <v>42</v>
      </c>
      <c r="E108">
        <v>45159</v>
      </c>
      <c r="F108" t="s">
        <v>34</v>
      </c>
      <c r="G108" t="s">
        <v>16</v>
      </c>
      <c r="H108" t="s">
        <v>26</v>
      </c>
      <c r="I108" t="s">
        <v>27</v>
      </c>
      <c r="J108" t="s">
        <v>28</v>
      </c>
      <c r="K108" t="s">
        <v>19</v>
      </c>
      <c r="L108" t="s">
        <v>30</v>
      </c>
      <c r="M108" t="s">
        <v>31</v>
      </c>
    </row>
    <row r="109" spans="1:13">
      <c r="A109" t="s">
        <v>146</v>
      </c>
      <c r="B109">
        <f t="shared" si="1"/>
        <v>0</v>
      </c>
      <c r="C109" t="s">
        <v>13</v>
      </c>
      <c r="D109" t="s">
        <v>14</v>
      </c>
      <c r="E109">
        <v>45162</v>
      </c>
      <c r="F109" t="s">
        <v>38</v>
      </c>
      <c r="G109" t="s">
        <v>35</v>
      </c>
      <c r="H109" t="s">
        <v>26</v>
      </c>
      <c r="I109" t="s">
        <v>18</v>
      </c>
      <c r="J109" t="s">
        <v>28</v>
      </c>
      <c r="K109" t="s">
        <v>19</v>
      </c>
      <c r="L109" t="s">
        <v>30</v>
      </c>
      <c r="M109" t="s">
        <v>21</v>
      </c>
    </row>
    <row r="110" spans="1:13">
      <c r="A110" t="s">
        <v>147</v>
      </c>
      <c r="B110">
        <f t="shared" si="1"/>
        <v>1</v>
      </c>
      <c r="C110" t="s">
        <v>23</v>
      </c>
      <c r="D110" t="s">
        <v>24</v>
      </c>
      <c r="E110">
        <v>45165</v>
      </c>
      <c r="F110" t="s">
        <v>15</v>
      </c>
      <c r="G110" t="s">
        <v>16</v>
      </c>
      <c r="H110" t="s">
        <v>17</v>
      </c>
      <c r="I110" t="s">
        <v>18</v>
      </c>
      <c r="J110" t="s">
        <v>15</v>
      </c>
      <c r="K110" t="s">
        <v>29</v>
      </c>
      <c r="L110" t="s">
        <v>20</v>
      </c>
      <c r="M110" t="s">
        <v>21</v>
      </c>
    </row>
    <row r="111" spans="1:13">
      <c r="A111" t="s">
        <v>148</v>
      </c>
      <c r="B111">
        <f t="shared" si="1"/>
        <v>0</v>
      </c>
      <c r="C111" t="s">
        <v>13</v>
      </c>
      <c r="D111" t="s">
        <v>33</v>
      </c>
      <c r="E111">
        <v>45168</v>
      </c>
      <c r="F111" t="s">
        <v>25</v>
      </c>
      <c r="G111" t="s">
        <v>16</v>
      </c>
      <c r="H111" t="s">
        <v>46</v>
      </c>
      <c r="I111" t="s">
        <v>27</v>
      </c>
      <c r="J111" t="s">
        <v>28</v>
      </c>
      <c r="K111" t="s">
        <v>19</v>
      </c>
      <c r="L111" t="s">
        <v>47</v>
      </c>
      <c r="M111" t="s">
        <v>31</v>
      </c>
    </row>
    <row r="112" spans="1:13">
      <c r="A112" t="s">
        <v>149</v>
      </c>
      <c r="B112">
        <f t="shared" si="1"/>
        <v>1</v>
      </c>
      <c r="C112" t="s">
        <v>23</v>
      </c>
      <c r="D112" t="s">
        <v>37</v>
      </c>
      <c r="E112">
        <v>45140</v>
      </c>
      <c r="F112" t="s">
        <v>15</v>
      </c>
      <c r="G112" t="s">
        <v>35</v>
      </c>
      <c r="H112" t="s">
        <v>26</v>
      </c>
      <c r="I112" t="s">
        <v>18</v>
      </c>
      <c r="J112" t="s">
        <v>15</v>
      </c>
      <c r="K112" t="s">
        <v>29</v>
      </c>
      <c r="L112" t="s">
        <v>30</v>
      </c>
      <c r="M112" t="s">
        <v>21</v>
      </c>
    </row>
    <row r="113" spans="1:13">
      <c r="A113" t="s">
        <v>150</v>
      </c>
      <c r="B113">
        <f t="shared" si="1"/>
        <v>0</v>
      </c>
      <c r="C113" t="s">
        <v>13</v>
      </c>
      <c r="D113" t="s">
        <v>40</v>
      </c>
      <c r="E113">
        <v>45143</v>
      </c>
      <c r="F113" t="s">
        <v>34</v>
      </c>
      <c r="G113" t="s">
        <v>16</v>
      </c>
      <c r="H113" t="s">
        <v>26</v>
      </c>
      <c r="I113" t="s">
        <v>18</v>
      </c>
      <c r="J113" t="s">
        <v>28</v>
      </c>
      <c r="K113" t="s">
        <v>19</v>
      </c>
      <c r="L113" t="s">
        <v>30</v>
      </c>
      <c r="M113" t="s">
        <v>21</v>
      </c>
    </row>
    <row r="114" spans="1:13">
      <c r="A114" t="s">
        <v>151</v>
      </c>
      <c r="B114">
        <f t="shared" si="1"/>
        <v>1</v>
      </c>
      <c r="C114" t="s">
        <v>23</v>
      </c>
      <c r="D114" t="s">
        <v>42</v>
      </c>
      <c r="E114">
        <v>45146</v>
      </c>
      <c r="F114" t="s">
        <v>15</v>
      </c>
      <c r="G114" t="s">
        <v>16</v>
      </c>
      <c r="H114" t="s">
        <v>17</v>
      </c>
      <c r="I114" t="s">
        <v>18</v>
      </c>
      <c r="J114" t="s">
        <v>15</v>
      </c>
      <c r="K114" t="s">
        <v>29</v>
      </c>
      <c r="L114" t="s">
        <v>20</v>
      </c>
      <c r="M114" t="s">
        <v>21</v>
      </c>
    </row>
    <row r="115" spans="1:13">
      <c r="A115" t="s">
        <v>152</v>
      </c>
      <c r="B115">
        <f t="shared" si="1"/>
        <v>0</v>
      </c>
      <c r="C115" t="s">
        <v>13</v>
      </c>
      <c r="D115" t="s">
        <v>14</v>
      </c>
      <c r="E115">
        <v>45149</v>
      </c>
      <c r="F115" t="s">
        <v>38</v>
      </c>
      <c r="G115" t="s">
        <v>35</v>
      </c>
      <c r="H115" t="s">
        <v>26</v>
      </c>
      <c r="I115" t="s">
        <v>18</v>
      </c>
      <c r="J115" t="s">
        <v>28</v>
      </c>
      <c r="K115" t="s">
        <v>19</v>
      </c>
      <c r="L115" t="s">
        <v>30</v>
      </c>
      <c r="M115" t="s">
        <v>21</v>
      </c>
    </row>
    <row r="116" spans="1:13">
      <c r="A116" t="s">
        <v>153</v>
      </c>
      <c r="B116">
        <f t="shared" si="1"/>
        <v>1</v>
      </c>
      <c r="C116" t="s">
        <v>23</v>
      </c>
      <c r="D116" t="s">
        <v>37</v>
      </c>
      <c r="E116">
        <v>45152</v>
      </c>
      <c r="F116" t="s">
        <v>15</v>
      </c>
      <c r="G116" t="s">
        <v>16</v>
      </c>
      <c r="H116" t="s">
        <v>17</v>
      </c>
      <c r="I116" t="s">
        <v>18</v>
      </c>
      <c r="J116" t="s">
        <v>15</v>
      </c>
      <c r="K116" t="s">
        <v>29</v>
      </c>
      <c r="L116" t="s">
        <v>20</v>
      </c>
      <c r="M116" t="s">
        <v>21</v>
      </c>
    </row>
    <row r="117" spans="1:13">
      <c r="A117" t="s">
        <v>154</v>
      </c>
      <c r="B117">
        <f t="shared" si="1"/>
        <v>0</v>
      </c>
      <c r="C117" t="s">
        <v>13</v>
      </c>
      <c r="D117" t="s">
        <v>40</v>
      </c>
      <c r="E117">
        <v>45155</v>
      </c>
      <c r="F117" t="s">
        <v>34</v>
      </c>
      <c r="G117" t="s">
        <v>35</v>
      </c>
      <c r="H117" t="s">
        <v>17</v>
      </c>
      <c r="I117" t="s">
        <v>27</v>
      </c>
      <c r="J117" t="s">
        <v>28</v>
      </c>
      <c r="K117" t="s">
        <v>19</v>
      </c>
      <c r="L117" t="s">
        <v>20</v>
      </c>
      <c r="M117" t="s">
        <v>31</v>
      </c>
    </row>
    <row r="118" spans="1:13">
      <c r="A118" t="s">
        <v>155</v>
      </c>
      <c r="B118">
        <f t="shared" si="1"/>
        <v>0</v>
      </c>
      <c r="C118" t="s">
        <v>23</v>
      </c>
      <c r="D118" t="s">
        <v>42</v>
      </c>
      <c r="E118">
        <v>45158</v>
      </c>
      <c r="F118" t="s">
        <v>25</v>
      </c>
      <c r="G118" t="s">
        <v>16</v>
      </c>
      <c r="H118" t="s">
        <v>46</v>
      </c>
      <c r="I118" t="s">
        <v>27</v>
      </c>
      <c r="J118" t="s">
        <v>28</v>
      </c>
      <c r="K118" t="s">
        <v>29</v>
      </c>
      <c r="L118" t="s">
        <v>47</v>
      </c>
      <c r="M118" t="s">
        <v>31</v>
      </c>
    </row>
    <row r="119" spans="1:13">
      <c r="A119" t="s">
        <v>156</v>
      </c>
      <c r="B119">
        <f t="shared" si="1"/>
        <v>1</v>
      </c>
      <c r="C119" t="s">
        <v>13</v>
      </c>
      <c r="D119" t="s">
        <v>24</v>
      </c>
      <c r="E119">
        <v>45161</v>
      </c>
      <c r="F119" t="s">
        <v>15</v>
      </c>
      <c r="G119" t="s">
        <v>35</v>
      </c>
      <c r="H119" t="s">
        <v>26</v>
      </c>
      <c r="I119" t="s">
        <v>18</v>
      </c>
      <c r="J119" t="s">
        <v>15</v>
      </c>
      <c r="K119" t="s">
        <v>19</v>
      </c>
      <c r="L119" t="s">
        <v>30</v>
      </c>
      <c r="M119" t="s">
        <v>21</v>
      </c>
    </row>
    <row r="120" spans="1:13">
      <c r="A120" t="s">
        <v>157</v>
      </c>
      <c r="B120">
        <f t="shared" si="1"/>
        <v>0</v>
      </c>
      <c r="C120" t="s">
        <v>13</v>
      </c>
      <c r="D120" t="s">
        <v>33</v>
      </c>
      <c r="E120">
        <v>45164</v>
      </c>
      <c r="F120" t="s">
        <v>34</v>
      </c>
      <c r="G120" t="s">
        <v>16</v>
      </c>
      <c r="H120" t="s">
        <v>26</v>
      </c>
      <c r="I120" t="s">
        <v>18</v>
      </c>
      <c r="J120" t="s">
        <v>28</v>
      </c>
      <c r="K120" t="s">
        <v>19</v>
      </c>
      <c r="L120" t="s">
        <v>30</v>
      </c>
      <c r="M120" t="s">
        <v>21</v>
      </c>
    </row>
    <row r="121" spans="1:13">
      <c r="A121" t="s">
        <v>158</v>
      </c>
      <c r="B121">
        <f t="shared" si="1"/>
        <v>1</v>
      </c>
      <c r="C121" t="s">
        <v>23</v>
      </c>
      <c r="D121" t="s">
        <v>37</v>
      </c>
      <c r="E121">
        <v>45167</v>
      </c>
      <c r="F121" t="s">
        <v>15</v>
      </c>
      <c r="G121" t="s">
        <v>16</v>
      </c>
      <c r="H121" t="s">
        <v>17</v>
      </c>
      <c r="I121" t="s">
        <v>18</v>
      </c>
      <c r="J121" t="s">
        <v>15</v>
      </c>
      <c r="K121" t="s">
        <v>29</v>
      </c>
      <c r="L121" t="s">
        <v>20</v>
      </c>
      <c r="M121" t="s">
        <v>21</v>
      </c>
    </row>
    <row r="122" spans="1:13">
      <c r="A122" t="s">
        <v>159</v>
      </c>
      <c r="B122">
        <f t="shared" si="1"/>
        <v>1</v>
      </c>
      <c r="C122" t="s">
        <v>23</v>
      </c>
      <c r="D122" t="s">
        <v>42</v>
      </c>
      <c r="E122">
        <v>45169</v>
      </c>
      <c r="F122" t="s">
        <v>15</v>
      </c>
      <c r="G122" t="s">
        <v>35</v>
      </c>
      <c r="H122" t="s">
        <v>26</v>
      </c>
      <c r="I122" t="s">
        <v>18</v>
      </c>
      <c r="J122" t="s">
        <v>15</v>
      </c>
      <c r="K122" t="s">
        <v>29</v>
      </c>
      <c r="L122" t="s">
        <v>30</v>
      </c>
      <c r="M122" t="s">
        <v>21</v>
      </c>
    </row>
    <row r="123" spans="1:13">
      <c r="A123" t="s">
        <v>160</v>
      </c>
      <c r="B123">
        <f t="shared" si="1"/>
        <v>0</v>
      </c>
      <c r="C123" t="s">
        <v>13</v>
      </c>
      <c r="D123" t="s">
        <v>14</v>
      </c>
      <c r="E123">
        <v>45169</v>
      </c>
      <c r="F123" t="s">
        <v>25</v>
      </c>
      <c r="G123" t="s">
        <v>16</v>
      </c>
      <c r="H123" t="s">
        <v>46</v>
      </c>
      <c r="I123" t="s">
        <v>27</v>
      </c>
      <c r="J123" t="s">
        <v>28</v>
      </c>
      <c r="K123" t="s">
        <v>19</v>
      </c>
      <c r="L123" t="s">
        <v>47</v>
      </c>
      <c r="M123" t="s">
        <v>31</v>
      </c>
    </row>
    <row r="124" spans="1:13">
      <c r="A124" t="s">
        <v>161</v>
      </c>
      <c r="B124">
        <f t="shared" si="1"/>
        <v>0</v>
      </c>
      <c r="C124" t="s">
        <v>23</v>
      </c>
      <c r="D124" t="s">
        <v>24</v>
      </c>
      <c r="E124">
        <v>45169</v>
      </c>
      <c r="F124" t="s">
        <v>34</v>
      </c>
      <c r="G124" t="s">
        <v>35</v>
      </c>
      <c r="H124" t="s">
        <v>26</v>
      </c>
      <c r="I124" t="s">
        <v>18</v>
      </c>
      <c r="J124" t="s">
        <v>28</v>
      </c>
      <c r="K124" t="s">
        <v>29</v>
      </c>
      <c r="L124" t="s">
        <v>30</v>
      </c>
      <c r="M124" t="s">
        <v>21</v>
      </c>
    </row>
    <row r="125" spans="1:13">
      <c r="A125" t="s">
        <v>162</v>
      </c>
      <c r="B125">
        <f t="shared" si="1"/>
        <v>1</v>
      </c>
      <c r="C125" t="s">
        <v>13</v>
      </c>
      <c r="D125" t="s">
        <v>33</v>
      </c>
      <c r="E125">
        <v>45169</v>
      </c>
      <c r="F125" t="s">
        <v>15</v>
      </c>
      <c r="G125" t="s">
        <v>16</v>
      </c>
      <c r="H125" t="s">
        <v>17</v>
      </c>
      <c r="I125" t="s">
        <v>18</v>
      </c>
      <c r="J125" t="s">
        <v>15</v>
      </c>
      <c r="K125" t="s">
        <v>19</v>
      </c>
      <c r="L125" t="s">
        <v>20</v>
      </c>
      <c r="M125" t="s">
        <v>21</v>
      </c>
    </row>
    <row r="126" spans="1:13">
      <c r="A126" t="s">
        <v>163</v>
      </c>
      <c r="B126">
        <f t="shared" si="1"/>
        <v>0</v>
      </c>
      <c r="C126" t="s">
        <v>13</v>
      </c>
      <c r="D126" t="s">
        <v>37</v>
      </c>
      <c r="E126">
        <v>45169</v>
      </c>
      <c r="F126" t="s">
        <v>38</v>
      </c>
      <c r="G126" t="s">
        <v>35</v>
      </c>
      <c r="H126" t="s">
        <v>17</v>
      </c>
      <c r="I126" t="s">
        <v>18</v>
      </c>
      <c r="J126" t="s">
        <v>28</v>
      </c>
      <c r="K126" t="s">
        <v>19</v>
      </c>
      <c r="L126" t="s">
        <v>20</v>
      </c>
      <c r="M126" t="s">
        <v>21</v>
      </c>
    </row>
    <row r="127" spans="1:13">
      <c r="A127" t="s">
        <v>164</v>
      </c>
      <c r="B127">
        <f t="shared" si="1"/>
        <v>1</v>
      </c>
      <c r="C127" t="s">
        <v>23</v>
      </c>
      <c r="D127" t="s">
        <v>40</v>
      </c>
      <c r="E127">
        <v>45169</v>
      </c>
      <c r="F127" t="s">
        <v>15</v>
      </c>
      <c r="G127" t="s">
        <v>16</v>
      </c>
      <c r="H127" t="s">
        <v>17</v>
      </c>
      <c r="I127" t="s">
        <v>18</v>
      </c>
      <c r="J127" t="s">
        <v>15</v>
      </c>
      <c r="K127" t="s">
        <v>29</v>
      </c>
      <c r="L127" t="s">
        <v>20</v>
      </c>
      <c r="M127" t="s">
        <v>21</v>
      </c>
    </row>
    <row r="128" spans="1:13">
      <c r="A128" t="s">
        <v>165</v>
      </c>
      <c r="B128">
        <f t="shared" si="1"/>
        <v>0</v>
      </c>
      <c r="C128" t="s">
        <v>13</v>
      </c>
      <c r="D128" t="s">
        <v>42</v>
      </c>
      <c r="E128">
        <v>45169</v>
      </c>
      <c r="F128" t="s">
        <v>34</v>
      </c>
      <c r="G128" t="s">
        <v>16</v>
      </c>
      <c r="H128" t="s">
        <v>26</v>
      </c>
      <c r="I128" t="s">
        <v>27</v>
      </c>
      <c r="J128" t="s">
        <v>28</v>
      </c>
      <c r="K128" t="s">
        <v>19</v>
      </c>
      <c r="L128" t="s">
        <v>30</v>
      </c>
      <c r="M128" t="s">
        <v>31</v>
      </c>
    </row>
    <row r="129" spans="1:13">
      <c r="A129" t="s">
        <v>166</v>
      </c>
      <c r="B129">
        <f t="shared" si="1"/>
        <v>0</v>
      </c>
      <c r="C129" t="s">
        <v>13</v>
      </c>
      <c r="D129" t="s">
        <v>14</v>
      </c>
      <c r="E129">
        <v>45169</v>
      </c>
      <c r="F129" t="s">
        <v>38</v>
      </c>
      <c r="G129" t="s">
        <v>35</v>
      </c>
      <c r="H129" t="s">
        <v>26</v>
      </c>
      <c r="I129" t="s">
        <v>18</v>
      </c>
      <c r="J129" t="s">
        <v>28</v>
      </c>
      <c r="K129" t="s">
        <v>19</v>
      </c>
      <c r="L129" t="s">
        <v>30</v>
      </c>
      <c r="M129" t="s">
        <v>21</v>
      </c>
    </row>
    <row r="130" spans="1:13">
      <c r="A130" t="s">
        <v>167</v>
      </c>
      <c r="B130">
        <f t="shared" ref="B130:B193" si="2">IF(F130="paid", 1,0)</f>
        <v>1</v>
      </c>
      <c r="C130" t="s">
        <v>23</v>
      </c>
      <c r="D130" t="s">
        <v>24</v>
      </c>
      <c r="E130">
        <v>45169</v>
      </c>
      <c r="F130" t="s">
        <v>15</v>
      </c>
      <c r="G130" t="s">
        <v>16</v>
      </c>
      <c r="H130" t="s">
        <v>17</v>
      </c>
      <c r="I130" t="s">
        <v>18</v>
      </c>
      <c r="J130" t="s">
        <v>15</v>
      </c>
      <c r="K130" t="s">
        <v>29</v>
      </c>
      <c r="L130" t="s">
        <v>20</v>
      </c>
      <c r="M130" t="s">
        <v>21</v>
      </c>
    </row>
    <row r="131" spans="1:13">
      <c r="A131" t="s">
        <v>168</v>
      </c>
      <c r="B131">
        <f t="shared" si="2"/>
        <v>0</v>
      </c>
      <c r="C131" t="s">
        <v>13</v>
      </c>
      <c r="D131" t="s">
        <v>33</v>
      </c>
      <c r="E131">
        <v>45169</v>
      </c>
      <c r="F131" t="s">
        <v>25</v>
      </c>
      <c r="G131" t="s">
        <v>16</v>
      </c>
      <c r="H131" t="s">
        <v>46</v>
      </c>
      <c r="I131" t="s">
        <v>27</v>
      </c>
      <c r="J131" t="s">
        <v>28</v>
      </c>
      <c r="K131" t="s">
        <v>19</v>
      </c>
      <c r="L131" t="s">
        <v>47</v>
      </c>
      <c r="M131" t="s">
        <v>31</v>
      </c>
    </row>
    <row r="132" spans="1:13">
      <c r="A132" t="s">
        <v>169</v>
      </c>
      <c r="B132">
        <f t="shared" si="2"/>
        <v>1</v>
      </c>
      <c r="C132" t="s">
        <v>23</v>
      </c>
      <c r="D132" t="s">
        <v>37</v>
      </c>
      <c r="E132">
        <v>45169</v>
      </c>
      <c r="F132" t="s">
        <v>15</v>
      </c>
      <c r="G132" t="s">
        <v>35</v>
      </c>
      <c r="H132" t="s">
        <v>26</v>
      </c>
      <c r="I132" t="s">
        <v>18</v>
      </c>
      <c r="J132" t="s">
        <v>15</v>
      </c>
      <c r="K132" t="s">
        <v>29</v>
      </c>
      <c r="L132" t="s">
        <v>30</v>
      </c>
      <c r="M132" t="s">
        <v>21</v>
      </c>
    </row>
    <row r="133" spans="1:13">
      <c r="A133" t="s">
        <v>170</v>
      </c>
      <c r="B133">
        <f t="shared" si="2"/>
        <v>0</v>
      </c>
      <c r="C133" t="s">
        <v>13</v>
      </c>
      <c r="D133" t="s">
        <v>40</v>
      </c>
      <c r="E133">
        <v>45169</v>
      </c>
      <c r="F133" t="s">
        <v>34</v>
      </c>
      <c r="G133" t="s">
        <v>16</v>
      </c>
      <c r="H133" t="s">
        <v>26</v>
      </c>
      <c r="I133" t="s">
        <v>18</v>
      </c>
      <c r="J133" t="s">
        <v>28</v>
      </c>
      <c r="K133" t="s">
        <v>19</v>
      </c>
      <c r="L133" t="s">
        <v>30</v>
      </c>
      <c r="M133" t="s">
        <v>21</v>
      </c>
    </row>
    <row r="134" spans="1:13">
      <c r="A134" t="s">
        <v>171</v>
      </c>
      <c r="B134">
        <f t="shared" si="2"/>
        <v>1</v>
      </c>
      <c r="C134" t="s">
        <v>23</v>
      </c>
      <c r="D134" t="s">
        <v>42</v>
      </c>
      <c r="E134">
        <v>45169</v>
      </c>
      <c r="F134" t="s">
        <v>15</v>
      </c>
      <c r="G134" t="s">
        <v>16</v>
      </c>
      <c r="H134" t="s">
        <v>17</v>
      </c>
      <c r="I134" t="s">
        <v>18</v>
      </c>
      <c r="J134" t="s">
        <v>15</v>
      </c>
      <c r="K134" t="s">
        <v>29</v>
      </c>
      <c r="L134" t="s">
        <v>20</v>
      </c>
      <c r="M134" t="s">
        <v>21</v>
      </c>
    </row>
    <row r="135" spans="1:13">
      <c r="A135" t="s">
        <v>172</v>
      </c>
      <c r="B135">
        <f t="shared" si="2"/>
        <v>0</v>
      </c>
      <c r="C135" t="s">
        <v>13</v>
      </c>
      <c r="D135" t="s">
        <v>14</v>
      </c>
      <c r="E135">
        <v>45169</v>
      </c>
      <c r="F135" t="s">
        <v>38</v>
      </c>
      <c r="G135" t="s">
        <v>35</v>
      </c>
      <c r="H135" t="s">
        <v>26</v>
      </c>
      <c r="I135" t="s">
        <v>18</v>
      </c>
      <c r="J135" t="s">
        <v>28</v>
      </c>
      <c r="K135" t="s">
        <v>19</v>
      </c>
      <c r="L135" t="s">
        <v>30</v>
      </c>
      <c r="M135" t="s">
        <v>21</v>
      </c>
    </row>
    <row r="136" spans="1:13">
      <c r="A136" t="s">
        <v>173</v>
      </c>
      <c r="B136">
        <f t="shared" si="2"/>
        <v>1</v>
      </c>
      <c r="C136" t="s">
        <v>23</v>
      </c>
      <c r="D136" t="s">
        <v>37</v>
      </c>
      <c r="E136">
        <v>45169</v>
      </c>
      <c r="F136" t="s">
        <v>15</v>
      </c>
      <c r="G136" t="s">
        <v>16</v>
      </c>
      <c r="H136" t="s">
        <v>17</v>
      </c>
      <c r="I136" t="s">
        <v>18</v>
      </c>
      <c r="J136" t="s">
        <v>15</v>
      </c>
      <c r="K136" t="s">
        <v>29</v>
      </c>
      <c r="L136" t="s">
        <v>20</v>
      </c>
      <c r="M136" t="s">
        <v>21</v>
      </c>
    </row>
    <row r="137" spans="1:13">
      <c r="A137" t="s">
        <v>174</v>
      </c>
      <c r="B137">
        <f t="shared" si="2"/>
        <v>0</v>
      </c>
      <c r="C137" t="s">
        <v>13</v>
      </c>
      <c r="D137" t="s">
        <v>40</v>
      </c>
      <c r="E137">
        <v>45169</v>
      </c>
      <c r="F137" t="s">
        <v>34</v>
      </c>
      <c r="G137" t="s">
        <v>35</v>
      </c>
      <c r="H137" t="s">
        <v>17</v>
      </c>
      <c r="I137" t="s">
        <v>27</v>
      </c>
      <c r="J137" t="s">
        <v>28</v>
      </c>
      <c r="K137" t="s">
        <v>19</v>
      </c>
      <c r="L137" t="s">
        <v>20</v>
      </c>
      <c r="M137" t="s">
        <v>31</v>
      </c>
    </row>
    <row r="138" spans="1:13">
      <c r="A138" t="s">
        <v>175</v>
      </c>
      <c r="B138">
        <f t="shared" si="2"/>
        <v>0</v>
      </c>
      <c r="C138" t="s">
        <v>23</v>
      </c>
      <c r="D138" t="s">
        <v>42</v>
      </c>
      <c r="E138">
        <v>45169</v>
      </c>
      <c r="F138" t="s">
        <v>25</v>
      </c>
      <c r="G138" t="s">
        <v>16</v>
      </c>
      <c r="H138" t="s">
        <v>46</v>
      </c>
      <c r="I138" t="s">
        <v>27</v>
      </c>
      <c r="J138" t="s">
        <v>28</v>
      </c>
      <c r="K138" t="s">
        <v>29</v>
      </c>
      <c r="L138" t="s">
        <v>47</v>
      </c>
      <c r="M138" t="s">
        <v>31</v>
      </c>
    </row>
    <row r="139" spans="1:13">
      <c r="A139" t="s">
        <v>176</v>
      </c>
      <c r="B139">
        <f t="shared" si="2"/>
        <v>1</v>
      </c>
      <c r="C139" t="s">
        <v>13</v>
      </c>
      <c r="D139" t="s">
        <v>24</v>
      </c>
      <c r="E139">
        <v>45169</v>
      </c>
      <c r="F139" t="s">
        <v>15</v>
      </c>
      <c r="G139" t="s">
        <v>35</v>
      </c>
      <c r="H139" t="s">
        <v>26</v>
      </c>
      <c r="I139" t="s">
        <v>18</v>
      </c>
      <c r="J139" t="s">
        <v>15</v>
      </c>
      <c r="K139" t="s">
        <v>19</v>
      </c>
      <c r="L139" t="s">
        <v>30</v>
      </c>
      <c r="M139" t="s">
        <v>21</v>
      </c>
    </row>
    <row r="140" spans="1:13">
      <c r="A140" t="s">
        <v>177</v>
      </c>
      <c r="B140">
        <f t="shared" si="2"/>
        <v>0</v>
      </c>
      <c r="C140" t="s">
        <v>13</v>
      </c>
      <c r="D140" t="s">
        <v>33</v>
      </c>
      <c r="E140">
        <v>45169</v>
      </c>
      <c r="F140" t="s">
        <v>34</v>
      </c>
      <c r="G140" t="s">
        <v>16</v>
      </c>
      <c r="H140" t="s">
        <v>26</v>
      </c>
      <c r="I140" t="s">
        <v>18</v>
      </c>
      <c r="J140" t="s">
        <v>28</v>
      </c>
      <c r="K140" t="s">
        <v>19</v>
      </c>
      <c r="L140" t="s">
        <v>30</v>
      </c>
      <c r="M140" t="s">
        <v>21</v>
      </c>
    </row>
    <row r="141" spans="1:13">
      <c r="A141" t="s">
        <v>178</v>
      </c>
      <c r="B141">
        <f t="shared" si="2"/>
        <v>1</v>
      </c>
      <c r="C141" t="s">
        <v>23</v>
      </c>
      <c r="D141" t="s">
        <v>37</v>
      </c>
      <c r="E141">
        <v>45169</v>
      </c>
      <c r="F141" t="s">
        <v>15</v>
      </c>
      <c r="G141" t="s">
        <v>16</v>
      </c>
      <c r="H141" t="s">
        <v>17</v>
      </c>
      <c r="I141" t="s">
        <v>18</v>
      </c>
      <c r="J141" t="s">
        <v>15</v>
      </c>
      <c r="K141" t="s">
        <v>29</v>
      </c>
      <c r="L141" t="s">
        <v>20</v>
      </c>
      <c r="M141" t="s">
        <v>21</v>
      </c>
    </row>
    <row r="142" spans="1:13">
      <c r="A142" t="s">
        <v>179</v>
      </c>
      <c r="B142">
        <f t="shared" si="2"/>
        <v>1</v>
      </c>
      <c r="C142" t="s">
        <v>23</v>
      </c>
      <c r="D142" t="s">
        <v>24</v>
      </c>
      <c r="E142">
        <v>45148</v>
      </c>
      <c r="F142" t="s">
        <v>15</v>
      </c>
      <c r="G142" t="s">
        <v>35</v>
      </c>
      <c r="H142" t="s">
        <v>26</v>
      </c>
      <c r="I142" t="s">
        <v>18</v>
      </c>
      <c r="J142" t="s">
        <v>15</v>
      </c>
      <c r="K142" t="s">
        <v>29</v>
      </c>
      <c r="L142" t="s">
        <v>30</v>
      </c>
      <c r="M142" t="s">
        <v>21</v>
      </c>
    </row>
    <row r="143" spans="1:13">
      <c r="A143" t="s">
        <v>180</v>
      </c>
      <c r="B143">
        <f t="shared" si="2"/>
        <v>0</v>
      </c>
      <c r="C143" t="s">
        <v>13</v>
      </c>
      <c r="D143" t="s">
        <v>33</v>
      </c>
      <c r="E143">
        <v>45153</v>
      </c>
      <c r="F143" t="s">
        <v>25</v>
      </c>
      <c r="G143" t="s">
        <v>16</v>
      </c>
      <c r="H143" t="s">
        <v>46</v>
      </c>
      <c r="I143" t="s">
        <v>27</v>
      </c>
      <c r="J143" t="s">
        <v>28</v>
      </c>
      <c r="K143" t="s">
        <v>19</v>
      </c>
      <c r="L143" t="s">
        <v>47</v>
      </c>
      <c r="M143" t="s">
        <v>31</v>
      </c>
    </row>
    <row r="144" spans="1:13">
      <c r="A144" t="s">
        <v>181</v>
      </c>
      <c r="B144">
        <f t="shared" si="2"/>
        <v>0</v>
      </c>
      <c r="C144" t="s">
        <v>23</v>
      </c>
      <c r="D144" t="s">
        <v>37</v>
      </c>
      <c r="E144">
        <v>45158</v>
      </c>
      <c r="F144" t="s">
        <v>34</v>
      </c>
      <c r="G144" t="s">
        <v>35</v>
      </c>
      <c r="H144" t="s">
        <v>26</v>
      </c>
      <c r="I144" t="s">
        <v>18</v>
      </c>
      <c r="J144" t="s">
        <v>28</v>
      </c>
      <c r="K144" t="s">
        <v>29</v>
      </c>
      <c r="L144" t="s">
        <v>30</v>
      </c>
      <c r="M144" t="s">
        <v>21</v>
      </c>
    </row>
    <row r="145" spans="1:13">
      <c r="A145" t="s">
        <v>182</v>
      </c>
      <c r="B145">
        <f t="shared" si="2"/>
        <v>1</v>
      </c>
      <c r="C145" t="s">
        <v>13</v>
      </c>
      <c r="D145" t="s">
        <v>40</v>
      </c>
      <c r="E145">
        <v>45163</v>
      </c>
      <c r="F145" t="s">
        <v>15</v>
      </c>
      <c r="G145" t="s">
        <v>16</v>
      </c>
      <c r="H145" t="s">
        <v>17</v>
      </c>
      <c r="I145" t="s">
        <v>18</v>
      </c>
      <c r="J145" t="s">
        <v>15</v>
      </c>
      <c r="K145" t="s">
        <v>19</v>
      </c>
      <c r="L145" t="s">
        <v>20</v>
      </c>
      <c r="M145" t="s">
        <v>21</v>
      </c>
    </row>
    <row r="146" spans="1:13">
      <c r="A146" t="s">
        <v>183</v>
      </c>
      <c r="B146">
        <f t="shared" si="2"/>
        <v>1</v>
      </c>
      <c r="C146" t="s">
        <v>13</v>
      </c>
      <c r="D146" t="s">
        <v>42</v>
      </c>
      <c r="E146">
        <v>45169</v>
      </c>
      <c r="F146" t="s">
        <v>15</v>
      </c>
      <c r="G146" t="s">
        <v>35</v>
      </c>
      <c r="H146" t="s">
        <v>26</v>
      </c>
      <c r="I146" t="s">
        <v>18</v>
      </c>
      <c r="J146" t="s">
        <v>15</v>
      </c>
      <c r="K146" t="s">
        <v>19</v>
      </c>
      <c r="L146" t="s">
        <v>30</v>
      </c>
      <c r="M146" t="s">
        <v>21</v>
      </c>
    </row>
    <row r="147" spans="1:13">
      <c r="A147" t="s">
        <v>184</v>
      </c>
      <c r="B147">
        <f t="shared" si="2"/>
        <v>0</v>
      </c>
      <c r="C147" t="s">
        <v>13</v>
      </c>
      <c r="D147" t="s">
        <v>14</v>
      </c>
      <c r="E147">
        <v>45146</v>
      </c>
      <c r="F147" t="s">
        <v>38</v>
      </c>
      <c r="G147" t="s">
        <v>35</v>
      </c>
      <c r="H147" t="s">
        <v>26</v>
      </c>
      <c r="I147" t="s">
        <v>18</v>
      </c>
      <c r="J147" t="s">
        <v>28</v>
      </c>
      <c r="K147" t="s">
        <v>19</v>
      </c>
      <c r="L147" t="s">
        <v>30</v>
      </c>
      <c r="M147" t="s">
        <v>21</v>
      </c>
    </row>
    <row r="148" spans="1:13">
      <c r="A148" t="s">
        <v>185</v>
      </c>
      <c r="B148">
        <f t="shared" si="2"/>
        <v>0</v>
      </c>
      <c r="C148" t="s">
        <v>23</v>
      </c>
      <c r="D148" t="s">
        <v>37</v>
      </c>
      <c r="E148">
        <v>45151</v>
      </c>
      <c r="F148" t="s">
        <v>25</v>
      </c>
      <c r="G148" t="s">
        <v>16</v>
      </c>
      <c r="H148" t="s">
        <v>17</v>
      </c>
      <c r="I148" t="s">
        <v>18</v>
      </c>
      <c r="J148" t="s">
        <v>28</v>
      </c>
      <c r="K148" t="s">
        <v>29</v>
      </c>
      <c r="L148" t="s">
        <v>20</v>
      </c>
      <c r="M148" t="s">
        <v>21</v>
      </c>
    </row>
    <row r="149" spans="1:13">
      <c r="A149" t="s">
        <v>186</v>
      </c>
      <c r="B149">
        <f t="shared" si="2"/>
        <v>1</v>
      </c>
      <c r="C149" t="s">
        <v>13</v>
      </c>
      <c r="D149" t="s">
        <v>40</v>
      </c>
      <c r="E149">
        <v>45156</v>
      </c>
      <c r="F149" t="s">
        <v>15</v>
      </c>
      <c r="G149" t="s">
        <v>16</v>
      </c>
      <c r="H149" t="s">
        <v>17</v>
      </c>
      <c r="I149" t="s">
        <v>27</v>
      </c>
      <c r="J149" t="s">
        <v>15</v>
      </c>
      <c r="K149" t="s">
        <v>19</v>
      </c>
      <c r="L149" t="s">
        <v>20</v>
      </c>
      <c r="M149" t="s">
        <v>31</v>
      </c>
    </row>
    <row r="150" spans="1:13">
      <c r="A150" t="s">
        <v>187</v>
      </c>
      <c r="B150">
        <f t="shared" si="2"/>
        <v>0</v>
      </c>
      <c r="C150" t="s">
        <v>23</v>
      </c>
      <c r="D150" t="s">
        <v>42</v>
      </c>
      <c r="E150">
        <v>45161</v>
      </c>
      <c r="F150" t="s">
        <v>34</v>
      </c>
      <c r="G150" t="s">
        <v>35</v>
      </c>
      <c r="H150" t="s">
        <v>26</v>
      </c>
      <c r="I150" t="s">
        <v>18</v>
      </c>
      <c r="J150" t="s">
        <v>28</v>
      </c>
      <c r="K150" t="s">
        <v>29</v>
      </c>
      <c r="L150" t="s">
        <v>30</v>
      </c>
      <c r="M150" t="s">
        <v>21</v>
      </c>
    </row>
    <row r="151" spans="1:13">
      <c r="A151" t="s">
        <v>188</v>
      </c>
      <c r="B151">
        <f t="shared" si="2"/>
        <v>1</v>
      </c>
      <c r="C151" t="s">
        <v>13</v>
      </c>
      <c r="D151" t="s">
        <v>14</v>
      </c>
      <c r="E151">
        <v>45166</v>
      </c>
      <c r="F151" t="s">
        <v>15</v>
      </c>
      <c r="G151" t="s">
        <v>16</v>
      </c>
      <c r="H151" t="s">
        <v>17</v>
      </c>
      <c r="I151" t="s">
        <v>18</v>
      </c>
      <c r="J151" t="s">
        <v>15</v>
      </c>
      <c r="K151" t="s">
        <v>19</v>
      </c>
      <c r="L151" t="s">
        <v>20</v>
      </c>
      <c r="M151" t="s">
        <v>21</v>
      </c>
    </row>
    <row r="152" spans="1:13">
      <c r="A152" t="s">
        <v>189</v>
      </c>
      <c r="B152">
        <f t="shared" si="2"/>
        <v>0</v>
      </c>
      <c r="C152" t="s">
        <v>13</v>
      </c>
      <c r="D152" t="s">
        <v>33</v>
      </c>
      <c r="E152">
        <v>45143</v>
      </c>
      <c r="F152" t="s">
        <v>34</v>
      </c>
      <c r="G152" t="s">
        <v>16</v>
      </c>
      <c r="H152" t="s">
        <v>26</v>
      </c>
      <c r="I152" t="s">
        <v>18</v>
      </c>
      <c r="J152" t="s">
        <v>28</v>
      </c>
      <c r="K152" t="s">
        <v>19</v>
      </c>
      <c r="L152" t="s">
        <v>30</v>
      </c>
      <c r="M152" t="s">
        <v>21</v>
      </c>
    </row>
    <row r="153" spans="1:13">
      <c r="A153" t="s">
        <v>190</v>
      </c>
      <c r="B153">
        <f t="shared" si="2"/>
        <v>1</v>
      </c>
      <c r="C153" t="s">
        <v>23</v>
      </c>
      <c r="D153" t="s">
        <v>37</v>
      </c>
      <c r="E153">
        <v>45148</v>
      </c>
      <c r="F153" t="s">
        <v>15</v>
      </c>
      <c r="G153" t="s">
        <v>35</v>
      </c>
      <c r="H153" t="s">
        <v>26</v>
      </c>
      <c r="I153" t="s">
        <v>18</v>
      </c>
      <c r="J153" t="s">
        <v>15</v>
      </c>
      <c r="K153" t="s">
        <v>29</v>
      </c>
      <c r="L153" t="s">
        <v>30</v>
      </c>
      <c r="M153" t="s">
        <v>21</v>
      </c>
    </row>
    <row r="154" spans="1:13">
      <c r="A154" t="s">
        <v>191</v>
      </c>
      <c r="B154">
        <f t="shared" si="2"/>
        <v>0</v>
      </c>
      <c r="C154" t="s">
        <v>13</v>
      </c>
      <c r="D154" t="s">
        <v>40</v>
      </c>
      <c r="E154">
        <v>45153</v>
      </c>
      <c r="F154" t="s">
        <v>38</v>
      </c>
      <c r="G154" t="s">
        <v>35</v>
      </c>
      <c r="H154" t="s">
        <v>17</v>
      </c>
      <c r="I154" t="s">
        <v>18</v>
      </c>
      <c r="J154" t="s">
        <v>28</v>
      </c>
      <c r="K154" t="s">
        <v>19</v>
      </c>
      <c r="L154" t="s">
        <v>20</v>
      </c>
      <c r="M154" t="s">
        <v>21</v>
      </c>
    </row>
    <row r="155" spans="1:13">
      <c r="A155" t="s">
        <v>192</v>
      </c>
      <c r="B155">
        <f t="shared" si="2"/>
        <v>1</v>
      </c>
      <c r="C155" t="s">
        <v>23</v>
      </c>
      <c r="D155" t="s">
        <v>42</v>
      </c>
      <c r="E155">
        <v>45158</v>
      </c>
      <c r="F155" t="s">
        <v>15</v>
      </c>
      <c r="G155" t="s">
        <v>16</v>
      </c>
      <c r="H155" t="s">
        <v>17</v>
      </c>
      <c r="I155" t="s">
        <v>18</v>
      </c>
      <c r="J155" t="s">
        <v>15</v>
      </c>
      <c r="K155" t="s">
        <v>29</v>
      </c>
      <c r="L155" t="s">
        <v>20</v>
      </c>
      <c r="M155" t="s">
        <v>21</v>
      </c>
    </row>
    <row r="156" spans="1:13">
      <c r="A156" t="s">
        <v>193</v>
      </c>
      <c r="B156">
        <f t="shared" si="2"/>
        <v>0</v>
      </c>
      <c r="C156" t="s">
        <v>13</v>
      </c>
      <c r="D156" t="s">
        <v>14</v>
      </c>
      <c r="E156">
        <v>45163</v>
      </c>
      <c r="F156" t="s">
        <v>34</v>
      </c>
      <c r="G156" t="s">
        <v>16</v>
      </c>
      <c r="H156" t="s">
        <v>26</v>
      </c>
      <c r="I156" t="s">
        <v>27</v>
      </c>
      <c r="J156" t="s">
        <v>28</v>
      </c>
      <c r="K156" t="s">
        <v>19</v>
      </c>
      <c r="L156" t="s">
        <v>30</v>
      </c>
      <c r="M156" t="s">
        <v>31</v>
      </c>
    </row>
    <row r="157" spans="1:13">
      <c r="A157" t="s">
        <v>194</v>
      </c>
      <c r="B157">
        <f t="shared" si="2"/>
        <v>0</v>
      </c>
      <c r="C157" t="s">
        <v>23</v>
      </c>
      <c r="D157" t="s">
        <v>37</v>
      </c>
      <c r="E157">
        <v>45169</v>
      </c>
      <c r="F157" t="s">
        <v>25</v>
      </c>
      <c r="G157" t="s">
        <v>35</v>
      </c>
      <c r="H157" t="s">
        <v>46</v>
      </c>
      <c r="I157" t="s">
        <v>27</v>
      </c>
      <c r="J157" t="s">
        <v>28</v>
      </c>
      <c r="K157" t="s">
        <v>29</v>
      </c>
      <c r="L157" t="s">
        <v>47</v>
      </c>
      <c r="M157" t="s">
        <v>31</v>
      </c>
    </row>
    <row r="158" spans="1:13">
      <c r="A158" t="s">
        <v>195</v>
      </c>
      <c r="B158">
        <f t="shared" si="2"/>
        <v>1</v>
      </c>
      <c r="C158" t="s">
        <v>13</v>
      </c>
      <c r="D158" t="s">
        <v>40</v>
      </c>
      <c r="E158">
        <v>45146</v>
      </c>
      <c r="F158" t="s">
        <v>15</v>
      </c>
      <c r="G158" t="s">
        <v>35</v>
      </c>
      <c r="H158" t="s">
        <v>26</v>
      </c>
      <c r="I158" t="s">
        <v>18</v>
      </c>
      <c r="J158" t="s">
        <v>15</v>
      </c>
      <c r="K158" t="s">
        <v>19</v>
      </c>
      <c r="L158" t="s">
        <v>30</v>
      </c>
      <c r="M158" t="s">
        <v>21</v>
      </c>
    </row>
    <row r="159" spans="1:13">
      <c r="A159" t="s">
        <v>196</v>
      </c>
      <c r="B159">
        <f t="shared" si="2"/>
        <v>0</v>
      </c>
      <c r="C159" t="s">
        <v>13</v>
      </c>
      <c r="D159" t="s">
        <v>42</v>
      </c>
      <c r="E159">
        <v>45151</v>
      </c>
      <c r="F159" t="s">
        <v>34</v>
      </c>
      <c r="G159" t="s">
        <v>16</v>
      </c>
      <c r="H159" t="s">
        <v>26</v>
      </c>
      <c r="I159" t="s">
        <v>18</v>
      </c>
      <c r="J159" t="s">
        <v>28</v>
      </c>
      <c r="K159" t="s">
        <v>19</v>
      </c>
      <c r="L159" t="s">
        <v>30</v>
      </c>
      <c r="M159" t="s">
        <v>21</v>
      </c>
    </row>
    <row r="160" spans="1:13">
      <c r="A160" t="s">
        <v>197</v>
      </c>
      <c r="B160">
        <f t="shared" si="2"/>
        <v>1</v>
      </c>
      <c r="C160" t="s">
        <v>23</v>
      </c>
      <c r="D160" t="s">
        <v>14</v>
      </c>
      <c r="E160">
        <v>45156</v>
      </c>
      <c r="F160" t="s">
        <v>15</v>
      </c>
      <c r="G160" t="s">
        <v>16</v>
      </c>
      <c r="H160" t="s">
        <v>17</v>
      </c>
      <c r="I160" t="s">
        <v>18</v>
      </c>
      <c r="J160" t="s">
        <v>15</v>
      </c>
      <c r="K160" t="s">
        <v>29</v>
      </c>
      <c r="L160" t="s">
        <v>20</v>
      </c>
      <c r="M160" t="s">
        <v>21</v>
      </c>
    </row>
    <row r="161" spans="1:13">
      <c r="A161" t="s">
        <v>198</v>
      </c>
      <c r="B161">
        <f t="shared" si="2"/>
        <v>0</v>
      </c>
      <c r="C161" t="s">
        <v>13</v>
      </c>
      <c r="D161" t="s">
        <v>37</v>
      </c>
      <c r="E161">
        <v>45161</v>
      </c>
      <c r="F161" t="s">
        <v>38</v>
      </c>
      <c r="G161" t="s">
        <v>35</v>
      </c>
      <c r="H161" t="s">
        <v>26</v>
      </c>
      <c r="I161" t="s">
        <v>27</v>
      </c>
      <c r="J161" t="s">
        <v>28</v>
      </c>
      <c r="K161" t="s">
        <v>19</v>
      </c>
      <c r="L161" t="s">
        <v>30</v>
      </c>
      <c r="M161" t="s">
        <v>31</v>
      </c>
    </row>
    <row r="162" spans="1:13">
      <c r="A162" t="s">
        <v>199</v>
      </c>
      <c r="B162">
        <f t="shared" si="2"/>
        <v>0</v>
      </c>
      <c r="C162" t="s">
        <v>23</v>
      </c>
      <c r="D162" t="s">
        <v>40</v>
      </c>
      <c r="E162">
        <v>45166</v>
      </c>
      <c r="F162" t="s">
        <v>25</v>
      </c>
      <c r="G162" t="s">
        <v>16</v>
      </c>
      <c r="H162" t="s">
        <v>17</v>
      </c>
      <c r="I162" t="s">
        <v>18</v>
      </c>
      <c r="J162" t="s">
        <v>28</v>
      </c>
      <c r="K162" t="s">
        <v>29</v>
      </c>
      <c r="L162" t="s">
        <v>20</v>
      </c>
      <c r="M162" t="s">
        <v>21</v>
      </c>
    </row>
    <row r="163" spans="1:13">
      <c r="A163" t="s">
        <v>200</v>
      </c>
      <c r="B163">
        <f t="shared" si="2"/>
        <v>1</v>
      </c>
      <c r="C163" t="s">
        <v>13</v>
      </c>
      <c r="D163" t="s">
        <v>42</v>
      </c>
      <c r="E163">
        <v>45144</v>
      </c>
      <c r="F163" t="s">
        <v>15</v>
      </c>
      <c r="G163" t="s">
        <v>35</v>
      </c>
      <c r="H163" t="s">
        <v>26</v>
      </c>
      <c r="I163" t="s">
        <v>18</v>
      </c>
      <c r="J163" t="s">
        <v>15</v>
      </c>
      <c r="K163" t="s">
        <v>19</v>
      </c>
      <c r="L163" t="s">
        <v>30</v>
      </c>
      <c r="M163" t="s">
        <v>21</v>
      </c>
    </row>
    <row r="164" spans="1:13">
      <c r="A164" t="s">
        <v>201</v>
      </c>
      <c r="B164">
        <f t="shared" si="2"/>
        <v>0</v>
      </c>
      <c r="C164" t="s">
        <v>23</v>
      </c>
      <c r="D164" t="s">
        <v>14</v>
      </c>
      <c r="E164">
        <v>45149</v>
      </c>
      <c r="F164" t="s">
        <v>34</v>
      </c>
      <c r="G164" t="s">
        <v>16</v>
      </c>
      <c r="H164" t="s">
        <v>17</v>
      </c>
      <c r="I164" t="s">
        <v>18</v>
      </c>
      <c r="J164" t="s">
        <v>28</v>
      </c>
      <c r="K164" t="s">
        <v>29</v>
      </c>
      <c r="L164" t="s">
        <v>20</v>
      </c>
      <c r="M164" t="s">
        <v>21</v>
      </c>
    </row>
    <row r="165" spans="1:13">
      <c r="A165" t="s">
        <v>202</v>
      </c>
      <c r="B165">
        <f t="shared" si="2"/>
        <v>1</v>
      </c>
      <c r="C165" t="s">
        <v>13</v>
      </c>
      <c r="D165" t="s">
        <v>37</v>
      </c>
      <c r="E165">
        <v>45154</v>
      </c>
      <c r="F165" t="s">
        <v>15</v>
      </c>
      <c r="G165" t="s">
        <v>16</v>
      </c>
      <c r="H165" t="s">
        <v>17</v>
      </c>
      <c r="I165" t="s">
        <v>18</v>
      </c>
      <c r="J165" t="s">
        <v>15</v>
      </c>
      <c r="K165" t="s">
        <v>19</v>
      </c>
      <c r="L165" t="s">
        <v>20</v>
      </c>
      <c r="M165" t="s">
        <v>21</v>
      </c>
    </row>
    <row r="166" spans="1:13">
      <c r="A166" t="s">
        <v>203</v>
      </c>
      <c r="B166">
        <f t="shared" si="2"/>
        <v>0</v>
      </c>
      <c r="C166" t="s">
        <v>23</v>
      </c>
      <c r="D166" t="s">
        <v>40</v>
      </c>
      <c r="E166">
        <v>45159</v>
      </c>
      <c r="F166" t="s">
        <v>25</v>
      </c>
      <c r="G166" t="s">
        <v>35</v>
      </c>
      <c r="H166" t="s">
        <v>46</v>
      </c>
      <c r="I166" t="s">
        <v>27</v>
      </c>
      <c r="J166" t="s">
        <v>28</v>
      </c>
      <c r="K166" t="s">
        <v>29</v>
      </c>
      <c r="L166" t="s">
        <v>47</v>
      </c>
      <c r="M166" t="s">
        <v>31</v>
      </c>
    </row>
    <row r="167" spans="1:13">
      <c r="A167" t="s">
        <v>204</v>
      </c>
      <c r="B167">
        <f t="shared" si="2"/>
        <v>1</v>
      </c>
      <c r="C167" t="s">
        <v>13</v>
      </c>
      <c r="D167" t="s">
        <v>42</v>
      </c>
      <c r="E167">
        <v>45164</v>
      </c>
      <c r="F167" t="s">
        <v>15</v>
      </c>
      <c r="G167" t="s">
        <v>16</v>
      </c>
      <c r="H167" t="s">
        <v>26</v>
      </c>
      <c r="I167" t="s">
        <v>18</v>
      </c>
      <c r="J167" t="s">
        <v>15</v>
      </c>
      <c r="K167" t="s">
        <v>19</v>
      </c>
      <c r="L167" t="s">
        <v>30</v>
      </c>
      <c r="M167" t="s">
        <v>21</v>
      </c>
    </row>
    <row r="168" spans="1:13">
      <c r="A168" t="s">
        <v>205</v>
      </c>
      <c r="B168">
        <f t="shared" si="2"/>
        <v>0</v>
      </c>
      <c r="C168" t="s">
        <v>23</v>
      </c>
      <c r="D168" t="s">
        <v>14</v>
      </c>
      <c r="E168">
        <v>45169</v>
      </c>
      <c r="F168" t="s">
        <v>34</v>
      </c>
      <c r="G168" t="s">
        <v>16</v>
      </c>
      <c r="H168" t="s">
        <v>17</v>
      </c>
      <c r="I168" t="s">
        <v>18</v>
      </c>
      <c r="J168" t="s">
        <v>28</v>
      </c>
      <c r="K168" t="s">
        <v>29</v>
      </c>
      <c r="L168" t="s">
        <v>20</v>
      </c>
      <c r="M168" t="s">
        <v>21</v>
      </c>
    </row>
    <row r="169" spans="1:13">
      <c r="A169" t="s">
        <v>206</v>
      </c>
      <c r="B169">
        <f t="shared" si="2"/>
        <v>1</v>
      </c>
      <c r="C169" t="s">
        <v>13</v>
      </c>
      <c r="D169" t="s">
        <v>37</v>
      </c>
      <c r="E169">
        <v>45145</v>
      </c>
      <c r="F169" t="s">
        <v>15</v>
      </c>
      <c r="G169" t="s">
        <v>35</v>
      </c>
      <c r="H169" t="s">
        <v>26</v>
      </c>
      <c r="I169" t="s">
        <v>27</v>
      </c>
      <c r="J169" t="s">
        <v>15</v>
      </c>
      <c r="K169" t="s">
        <v>19</v>
      </c>
      <c r="L169" t="s">
        <v>30</v>
      </c>
      <c r="M169" t="s">
        <v>31</v>
      </c>
    </row>
    <row r="170" spans="1:13">
      <c r="A170" t="s">
        <v>207</v>
      </c>
      <c r="B170">
        <f t="shared" si="2"/>
        <v>0</v>
      </c>
      <c r="C170" t="s">
        <v>23</v>
      </c>
      <c r="D170" t="s">
        <v>40</v>
      </c>
      <c r="E170">
        <v>45150</v>
      </c>
      <c r="F170" t="s">
        <v>38</v>
      </c>
      <c r="G170" t="s">
        <v>35</v>
      </c>
      <c r="H170" t="s">
        <v>26</v>
      </c>
      <c r="I170" t="s">
        <v>18</v>
      </c>
      <c r="J170" t="s">
        <v>28</v>
      </c>
      <c r="K170" t="s">
        <v>29</v>
      </c>
      <c r="L170" t="s">
        <v>30</v>
      </c>
      <c r="M170" t="s">
        <v>21</v>
      </c>
    </row>
    <row r="171" spans="1:13">
      <c r="A171" t="s">
        <v>208</v>
      </c>
      <c r="B171">
        <f t="shared" si="2"/>
        <v>0</v>
      </c>
      <c r="C171" t="s">
        <v>13</v>
      </c>
      <c r="D171" t="s">
        <v>42</v>
      </c>
      <c r="E171">
        <v>45155</v>
      </c>
      <c r="F171" t="s">
        <v>25</v>
      </c>
      <c r="G171" t="s">
        <v>16</v>
      </c>
      <c r="H171" t="s">
        <v>17</v>
      </c>
      <c r="I171" t="s">
        <v>18</v>
      </c>
      <c r="J171" t="s">
        <v>28</v>
      </c>
      <c r="K171" t="s">
        <v>19</v>
      </c>
      <c r="L171" t="s">
        <v>20</v>
      </c>
      <c r="M171" t="s">
        <v>21</v>
      </c>
    </row>
    <row r="172" spans="1:13">
      <c r="A172" t="s">
        <v>209</v>
      </c>
      <c r="B172">
        <f t="shared" si="2"/>
        <v>1</v>
      </c>
      <c r="C172" t="s">
        <v>23</v>
      </c>
      <c r="D172" t="s">
        <v>14</v>
      </c>
      <c r="E172">
        <v>45160</v>
      </c>
      <c r="F172" t="s">
        <v>15</v>
      </c>
      <c r="G172" t="s">
        <v>16</v>
      </c>
      <c r="H172" t="s">
        <v>17</v>
      </c>
      <c r="I172" t="s">
        <v>18</v>
      </c>
      <c r="J172" t="s">
        <v>15</v>
      </c>
      <c r="K172" t="s">
        <v>29</v>
      </c>
      <c r="L172" t="s">
        <v>20</v>
      </c>
      <c r="M172" t="s">
        <v>21</v>
      </c>
    </row>
    <row r="173" spans="1:13">
      <c r="A173" t="s">
        <v>210</v>
      </c>
      <c r="B173">
        <f t="shared" si="2"/>
        <v>0</v>
      </c>
      <c r="C173" t="s">
        <v>13</v>
      </c>
      <c r="D173" t="s">
        <v>37</v>
      </c>
      <c r="E173">
        <v>45165</v>
      </c>
      <c r="F173" t="s">
        <v>34</v>
      </c>
      <c r="G173" t="s">
        <v>35</v>
      </c>
      <c r="H173" t="s">
        <v>46</v>
      </c>
      <c r="I173" t="s">
        <v>18</v>
      </c>
      <c r="J173" t="s">
        <v>28</v>
      </c>
      <c r="K173" t="s">
        <v>19</v>
      </c>
      <c r="L173" t="s">
        <v>47</v>
      </c>
      <c r="M173" t="s">
        <v>21</v>
      </c>
    </row>
    <row r="174" spans="1:13">
      <c r="A174" t="s">
        <v>211</v>
      </c>
      <c r="B174">
        <f t="shared" si="2"/>
        <v>1</v>
      </c>
      <c r="C174" t="s">
        <v>23</v>
      </c>
      <c r="D174" t="s">
        <v>40</v>
      </c>
      <c r="E174">
        <v>45141</v>
      </c>
      <c r="F174" t="s">
        <v>15</v>
      </c>
      <c r="G174" t="s">
        <v>16</v>
      </c>
      <c r="H174" t="s">
        <v>17</v>
      </c>
      <c r="I174" t="s">
        <v>18</v>
      </c>
      <c r="J174" t="s">
        <v>15</v>
      </c>
      <c r="K174" t="s">
        <v>29</v>
      </c>
      <c r="L174" t="s">
        <v>20</v>
      </c>
      <c r="M174" t="s">
        <v>21</v>
      </c>
    </row>
    <row r="175" spans="1:13">
      <c r="A175" t="s">
        <v>212</v>
      </c>
      <c r="B175">
        <f t="shared" si="2"/>
        <v>0</v>
      </c>
      <c r="C175" t="s">
        <v>13</v>
      </c>
      <c r="D175" t="s">
        <v>42</v>
      </c>
      <c r="E175">
        <v>45146</v>
      </c>
      <c r="F175" t="s">
        <v>34</v>
      </c>
      <c r="G175" t="s">
        <v>35</v>
      </c>
      <c r="H175" t="s">
        <v>26</v>
      </c>
      <c r="I175" t="s">
        <v>18</v>
      </c>
      <c r="J175" t="s">
        <v>28</v>
      </c>
      <c r="K175" t="s">
        <v>19</v>
      </c>
      <c r="L175" t="s">
        <v>30</v>
      </c>
      <c r="M175" t="s">
        <v>21</v>
      </c>
    </row>
    <row r="176" spans="1:13">
      <c r="A176" t="s">
        <v>213</v>
      </c>
      <c r="B176">
        <f t="shared" si="2"/>
        <v>1</v>
      </c>
      <c r="C176" t="s">
        <v>23</v>
      </c>
      <c r="D176" t="s">
        <v>14</v>
      </c>
      <c r="E176">
        <v>45151</v>
      </c>
      <c r="F176" t="s">
        <v>15</v>
      </c>
      <c r="G176" t="s">
        <v>16</v>
      </c>
      <c r="H176" t="s">
        <v>17</v>
      </c>
      <c r="I176" t="s">
        <v>27</v>
      </c>
      <c r="J176" t="s">
        <v>15</v>
      </c>
      <c r="K176" t="s">
        <v>29</v>
      </c>
      <c r="L176" t="s">
        <v>20</v>
      </c>
      <c r="M176" t="s">
        <v>31</v>
      </c>
    </row>
    <row r="177" spans="1:13">
      <c r="A177" t="s">
        <v>214</v>
      </c>
      <c r="B177">
        <f t="shared" si="2"/>
        <v>0</v>
      </c>
      <c r="C177" t="s">
        <v>13</v>
      </c>
      <c r="D177" t="s">
        <v>37</v>
      </c>
      <c r="E177">
        <v>45156</v>
      </c>
      <c r="F177" t="s">
        <v>25</v>
      </c>
      <c r="G177" t="s">
        <v>16</v>
      </c>
      <c r="H177" t="s">
        <v>26</v>
      </c>
      <c r="I177" t="s">
        <v>18</v>
      </c>
      <c r="J177" t="s">
        <v>28</v>
      </c>
      <c r="K177" t="s">
        <v>19</v>
      </c>
      <c r="L177" t="s">
        <v>30</v>
      </c>
      <c r="M177" t="s">
        <v>21</v>
      </c>
    </row>
    <row r="178" spans="1:13">
      <c r="A178" t="s">
        <v>215</v>
      </c>
      <c r="B178">
        <f t="shared" si="2"/>
        <v>1</v>
      </c>
      <c r="C178" t="s">
        <v>23</v>
      </c>
      <c r="D178" t="s">
        <v>40</v>
      </c>
      <c r="E178">
        <v>45161</v>
      </c>
      <c r="F178" t="s">
        <v>15</v>
      </c>
      <c r="G178" t="s">
        <v>35</v>
      </c>
      <c r="H178" t="s">
        <v>17</v>
      </c>
      <c r="I178" t="s">
        <v>18</v>
      </c>
      <c r="J178" t="s">
        <v>15</v>
      </c>
      <c r="K178" t="s">
        <v>29</v>
      </c>
      <c r="L178" t="s">
        <v>20</v>
      </c>
      <c r="M178" t="s">
        <v>21</v>
      </c>
    </row>
    <row r="179" spans="1:13">
      <c r="A179" t="s">
        <v>216</v>
      </c>
      <c r="B179">
        <f t="shared" si="2"/>
        <v>0</v>
      </c>
      <c r="C179" t="s">
        <v>13</v>
      </c>
      <c r="D179" t="s">
        <v>42</v>
      </c>
      <c r="E179">
        <v>45166</v>
      </c>
      <c r="F179" t="s">
        <v>34</v>
      </c>
      <c r="G179" t="s">
        <v>16</v>
      </c>
      <c r="H179" t="s">
        <v>26</v>
      </c>
      <c r="I179" t="s">
        <v>18</v>
      </c>
      <c r="J179" t="s">
        <v>28</v>
      </c>
      <c r="K179" t="s">
        <v>19</v>
      </c>
      <c r="L179" t="s">
        <v>30</v>
      </c>
      <c r="M179" t="s">
        <v>21</v>
      </c>
    </row>
    <row r="180" spans="1:13">
      <c r="A180" t="s">
        <v>217</v>
      </c>
      <c r="B180">
        <f t="shared" si="2"/>
        <v>1</v>
      </c>
      <c r="C180" t="s">
        <v>23</v>
      </c>
      <c r="D180" t="s">
        <v>14</v>
      </c>
      <c r="E180">
        <v>45142</v>
      </c>
      <c r="F180" t="s">
        <v>15</v>
      </c>
      <c r="G180" t="s">
        <v>16</v>
      </c>
      <c r="H180" t="s">
        <v>17</v>
      </c>
      <c r="I180" t="s">
        <v>18</v>
      </c>
      <c r="J180" t="s">
        <v>15</v>
      </c>
      <c r="K180" t="s">
        <v>29</v>
      </c>
      <c r="L180" t="s">
        <v>20</v>
      </c>
      <c r="M180" t="s">
        <v>21</v>
      </c>
    </row>
    <row r="181" spans="1:13">
      <c r="A181" t="s">
        <v>218</v>
      </c>
      <c r="B181">
        <f t="shared" si="2"/>
        <v>0</v>
      </c>
      <c r="C181" t="s">
        <v>13</v>
      </c>
      <c r="D181" t="s">
        <v>37</v>
      </c>
      <c r="E181">
        <v>45147</v>
      </c>
      <c r="F181" t="s">
        <v>38</v>
      </c>
      <c r="G181" t="s">
        <v>35</v>
      </c>
      <c r="H181" t="s">
        <v>26</v>
      </c>
      <c r="I181" t="s">
        <v>18</v>
      </c>
      <c r="J181" t="s">
        <v>28</v>
      </c>
      <c r="K181" t="s">
        <v>19</v>
      </c>
      <c r="L181" t="s">
        <v>30</v>
      </c>
      <c r="M181" t="s">
        <v>21</v>
      </c>
    </row>
    <row r="182" spans="1:13">
      <c r="A182" t="s">
        <v>219</v>
      </c>
      <c r="B182">
        <f t="shared" si="2"/>
        <v>1</v>
      </c>
      <c r="C182" t="s">
        <v>23</v>
      </c>
      <c r="D182" t="s">
        <v>40</v>
      </c>
      <c r="E182">
        <v>45152</v>
      </c>
      <c r="F182" t="s">
        <v>15</v>
      </c>
      <c r="G182" t="s">
        <v>16</v>
      </c>
      <c r="H182" t="s">
        <v>17</v>
      </c>
      <c r="I182" t="s">
        <v>18</v>
      </c>
      <c r="J182" t="s">
        <v>15</v>
      </c>
      <c r="K182" t="s">
        <v>29</v>
      </c>
      <c r="L182" t="s">
        <v>20</v>
      </c>
      <c r="M182" t="s">
        <v>21</v>
      </c>
    </row>
    <row r="183" spans="1:13">
      <c r="A183" t="s">
        <v>220</v>
      </c>
      <c r="B183">
        <f t="shared" si="2"/>
        <v>0</v>
      </c>
      <c r="C183" t="s">
        <v>13</v>
      </c>
      <c r="D183" t="s">
        <v>42</v>
      </c>
      <c r="E183">
        <v>45157</v>
      </c>
      <c r="F183" t="s">
        <v>34</v>
      </c>
      <c r="G183" t="s">
        <v>35</v>
      </c>
      <c r="H183" t="s">
        <v>26</v>
      </c>
      <c r="I183" t="s">
        <v>27</v>
      </c>
      <c r="J183" t="s">
        <v>28</v>
      </c>
      <c r="K183" t="s">
        <v>19</v>
      </c>
      <c r="L183" t="s">
        <v>30</v>
      </c>
      <c r="M183" t="s">
        <v>31</v>
      </c>
    </row>
    <row r="184" spans="1:13">
      <c r="A184" t="s">
        <v>221</v>
      </c>
      <c r="B184">
        <f t="shared" si="2"/>
        <v>1</v>
      </c>
      <c r="C184" t="s">
        <v>23</v>
      </c>
      <c r="D184" t="s">
        <v>14</v>
      </c>
      <c r="E184">
        <v>45162</v>
      </c>
      <c r="F184" t="s">
        <v>15</v>
      </c>
      <c r="G184" t="s">
        <v>16</v>
      </c>
      <c r="H184" t="s">
        <v>17</v>
      </c>
      <c r="I184" t="s">
        <v>18</v>
      </c>
      <c r="J184" t="s">
        <v>15</v>
      </c>
      <c r="K184" t="s">
        <v>29</v>
      </c>
      <c r="L184" t="s">
        <v>20</v>
      </c>
      <c r="M184" t="s">
        <v>21</v>
      </c>
    </row>
    <row r="185" spans="1:13">
      <c r="A185" t="s">
        <v>222</v>
      </c>
      <c r="B185">
        <f t="shared" si="2"/>
        <v>0</v>
      </c>
      <c r="C185" t="s">
        <v>13</v>
      </c>
      <c r="D185" t="s">
        <v>37</v>
      </c>
      <c r="E185">
        <v>45167</v>
      </c>
      <c r="F185" t="s">
        <v>25</v>
      </c>
      <c r="G185" t="s">
        <v>16</v>
      </c>
      <c r="H185" t="s">
        <v>17</v>
      </c>
      <c r="I185" t="s">
        <v>18</v>
      </c>
      <c r="J185" t="s">
        <v>28</v>
      </c>
      <c r="K185" t="s">
        <v>19</v>
      </c>
      <c r="L185" t="s">
        <v>20</v>
      </c>
      <c r="M185" t="s">
        <v>21</v>
      </c>
    </row>
    <row r="186" spans="1:13">
      <c r="A186" t="s">
        <v>223</v>
      </c>
      <c r="B186">
        <f t="shared" si="2"/>
        <v>1</v>
      </c>
      <c r="C186" t="s">
        <v>23</v>
      </c>
      <c r="D186" t="s">
        <v>40</v>
      </c>
      <c r="E186">
        <v>45140</v>
      </c>
      <c r="F186" t="s">
        <v>15</v>
      </c>
      <c r="G186" t="s">
        <v>35</v>
      </c>
      <c r="H186" t="s">
        <v>26</v>
      </c>
      <c r="I186" t="s">
        <v>18</v>
      </c>
      <c r="J186" t="s">
        <v>15</v>
      </c>
      <c r="K186" t="s">
        <v>29</v>
      </c>
      <c r="L186" t="s">
        <v>30</v>
      </c>
      <c r="M186" t="s">
        <v>21</v>
      </c>
    </row>
    <row r="187" spans="1:13">
      <c r="A187" t="s">
        <v>224</v>
      </c>
      <c r="B187">
        <f t="shared" si="2"/>
        <v>0</v>
      </c>
      <c r="C187" t="s">
        <v>13</v>
      </c>
      <c r="D187" t="s">
        <v>42</v>
      </c>
      <c r="E187">
        <v>45145</v>
      </c>
      <c r="F187" t="s">
        <v>34</v>
      </c>
      <c r="G187" t="s">
        <v>16</v>
      </c>
      <c r="H187" t="s">
        <v>17</v>
      </c>
      <c r="I187" t="s">
        <v>18</v>
      </c>
      <c r="J187" t="s">
        <v>28</v>
      </c>
      <c r="K187" t="s">
        <v>19</v>
      </c>
      <c r="L187" t="s">
        <v>20</v>
      </c>
      <c r="M187" t="s">
        <v>21</v>
      </c>
    </row>
    <row r="188" spans="1:13">
      <c r="A188" t="s">
        <v>225</v>
      </c>
      <c r="B188">
        <f t="shared" si="2"/>
        <v>1</v>
      </c>
      <c r="C188" t="s">
        <v>23</v>
      </c>
      <c r="D188" t="s">
        <v>14</v>
      </c>
      <c r="E188">
        <v>45150</v>
      </c>
      <c r="F188" t="s">
        <v>15</v>
      </c>
      <c r="G188" t="s">
        <v>16</v>
      </c>
      <c r="H188" t="s">
        <v>26</v>
      </c>
      <c r="I188" t="s">
        <v>27</v>
      </c>
      <c r="J188" t="s">
        <v>15</v>
      </c>
      <c r="K188" t="s">
        <v>29</v>
      </c>
      <c r="L188" t="s">
        <v>30</v>
      </c>
      <c r="M188" t="s">
        <v>31</v>
      </c>
    </row>
    <row r="189" spans="1:13">
      <c r="A189" t="s">
        <v>226</v>
      </c>
      <c r="B189">
        <f t="shared" si="2"/>
        <v>0</v>
      </c>
      <c r="C189" t="s">
        <v>13</v>
      </c>
      <c r="D189" t="s">
        <v>37</v>
      </c>
      <c r="E189">
        <v>45155</v>
      </c>
      <c r="F189" t="s">
        <v>25</v>
      </c>
      <c r="G189" t="s">
        <v>35</v>
      </c>
      <c r="H189" t="s">
        <v>26</v>
      </c>
      <c r="I189" t="s">
        <v>18</v>
      </c>
      <c r="J189" t="s">
        <v>28</v>
      </c>
      <c r="K189" t="s">
        <v>19</v>
      </c>
      <c r="L189" t="s">
        <v>30</v>
      </c>
      <c r="M189" t="s">
        <v>21</v>
      </c>
    </row>
    <row r="190" spans="1:13">
      <c r="A190" t="s">
        <v>227</v>
      </c>
      <c r="B190">
        <f t="shared" si="2"/>
        <v>1</v>
      </c>
      <c r="C190" t="s">
        <v>23</v>
      </c>
      <c r="D190" t="s">
        <v>40</v>
      </c>
      <c r="E190">
        <v>45160</v>
      </c>
      <c r="F190" t="s">
        <v>15</v>
      </c>
      <c r="G190" t="s">
        <v>16</v>
      </c>
      <c r="H190" t="s">
        <v>17</v>
      </c>
      <c r="I190" t="s">
        <v>18</v>
      </c>
      <c r="J190" t="s">
        <v>15</v>
      </c>
      <c r="K190" t="s">
        <v>29</v>
      </c>
      <c r="L190" t="s">
        <v>20</v>
      </c>
      <c r="M190" t="s">
        <v>21</v>
      </c>
    </row>
    <row r="191" spans="1:13">
      <c r="A191" t="s">
        <v>228</v>
      </c>
      <c r="B191">
        <f t="shared" si="2"/>
        <v>0</v>
      </c>
      <c r="C191" t="s">
        <v>13</v>
      </c>
      <c r="D191" t="s">
        <v>42</v>
      </c>
      <c r="E191">
        <v>45165</v>
      </c>
      <c r="F191" t="s">
        <v>34</v>
      </c>
      <c r="G191" t="s">
        <v>35</v>
      </c>
      <c r="H191" t="s">
        <v>17</v>
      </c>
      <c r="I191" t="s">
        <v>18</v>
      </c>
      <c r="J191" t="s">
        <v>28</v>
      </c>
      <c r="K191" t="s">
        <v>19</v>
      </c>
      <c r="L191" t="s">
        <v>20</v>
      </c>
      <c r="M191" t="s">
        <v>21</v>
      </c>
    </row>
    <row r="192" spans="1:13">
      <c r="A192" t="s">
        <v>229</v>
      </c>
      <c r="B192">
        <f t="shared" si="2"/>
        <v>1</v>
      </c>
      <c r="C192" t="s">
        <v>23</v>
      </c>
      <c r="D192" t="s">
        <v>14</v>
      </c>
      <c r="E192">
        <v>45143</v>
      </c>
      <c r="F192" t="s">
        <v>15</v>
      </c>
      <c r="G192" t="s">
        <v>16</v>
      </c>
      <c r="H192" t="s">
        <v>26</v>
      </c>
      <c r="I192" t="s">
        <v>18</v>
      </c>
      <c r="J192" t="s">
        <v>15</v>
      </c>
      <c r="K192" t="s">
        <v>29</v>
      </c>
      <c r="L192" t="s">
        <v>30</v>
      </c>
      <c r="M192" t="s">
        <v>21</v>
      </c>
    </row>
    <row r="193" spans="1:13">
      <c r="A193" t="s">
        <v>230</v>
      </c>
      <c r="B193">
        <f t="shared" si="2"/>
        <v>0</v>
      </c>
      <c r="C193" t="s">
        <v>13</v>
      </c>
      <c r="D193" t="s">
        <v>37</v>
      </c>
      <c r="E193">
        <v>45148</v>
      </c>
      <c r="F193" t="s">
        <v>25</v>
      </c>
      <c r="G193" t="s">
        <v>16</v>
      </c>
      <c r="H193" t="s">
        <v>17</v>
      </c>
      <c r="I193" t="s">
        <v>18</v>
      </c>
      <c r="J193" t="s">
        <v>28</v>
      </c>
      <c r="K193" t="s">
        <v>19</v>
      </c>
      <c r="L193" t="s">
        <v>20</v>
      </c>
      <c r="M193" t="s">
        <v>21</v>
      </c>
    </row>
    <row r="194" spans="1:13">
      <c r="A194" t="s">
        <v>231</v>
      </c>
      <c r="B194">
        <f t="shared" ref="B194:B226" si="3">IF(F194="paid", 1,0)</f>
        <v>1</v>
      </c>
      <c r="C194" t="s">
        <v>23</v>
      </c>
      <c r="D194" t="s">
        <v>40</v>
      </c>
      <c r="E194">
        <v>45153</v>
      </c>
      <c r="F194" t="s">
        <v>15</v>
      </c>
      <c r="G194" t="s">
        <v>35</v>
      </c>
      <c r="H194" t="s">
        <v>26</v>
      </c>
      <c r="I194" t="s">
        <v>18</v>
      </c>
      <c r="J194" t="s">
        <v>15</v>
      </c>
      <c r="K194" t="s">
        <v>29</v>
      </c>
      <c r="L194" t="s">
        <v>30</v>
      </c>
      <c r="M194" t="s">
        <v>21</v>
      </c>
    </row>
    <row r="195" spans="1:13">
      <c r="A195" t="s">
        <v>232</v>
      </c>
      <c r="B195">
        <f t="shared" si="3"/>
        <v>0</v>
      </c>
      <c r="C195" t="s">
        <v>13</v>
      </c>
      <c r="D195" t="s">
        <v>42</v>
      </c>
      <c r="E195">
        <v>45158</v>
      </c>
      <c r="F195" t="s">
        <v>34</v>
      </c>
      <c r="G195" t="s">
        <v>16</v>
      </c>
      <c r="H195" t="s">
        <v>26</v>
      </c>
      <c r="I195" t="s">
        <v>27</v>
      </c>
      <c r="J195" t="s">
        <v>28</v>
      </c>
      <c r="K195" t="s">
        <v>19</v>
      </c>
      <c r="L195" t="s">
        <v>30</v>
      </c>
      <c r="M195" t="s">
        <v>31</v>
      </c>
    </row>
    <row r="196" spans="1:13">
      <c r="A196" t="s">
        <v>233</v>
      </c>
      <c r="B196">
        <f t="shared" si="3"/>
        <v>1</v>
      </c>
      <c r="C196" t="s">
        <v>23</v>
      </c>
      <c r="D196" t="s">
        <v>14</v>
      </c>
      <c r="E196">
        <v>45163</v>
      </c>
      <c r="F196" t="s">
        <v>15</v>
      </c>
      <c r="G196" t="s">
        <v>16</v>
      </c>
      <c r="H196" t="s">
        <v>17</v>
      </c>
      <c r="I196" t="s">
        <v>18</v>
      </c>
      <c r="J196" t="s">
        <v>15</v>
      </c>
      <c r="K196" t="s">
        <v>29</v>
      </c>
      <c r="L196" t="s">
        <v>20</v>
      </c>
      <c r="M196" t="s">
        <v>21</v>
      </c>
    </row>
    <row r="197" spans="1:13">
      <c r="A197" t="s">
        <v>234</v>
      </c>
      <c r="B197">
        <f t="shared" si="3"/>
        <v>0</v>
      </c>
      <c r="C197" t="s">
        <v>13</v>
      </c>
      <c r="D197" t="s">
        <v>37</v>
      </c>
      <c r="E197">
        <v>45168</v>
      </c>
      <c r="F197" t="s">
        <v>38</v>
      </c>
      <c r="G197" t="s">
        <v>35</v>
      </c>
      <c r="H197" t="s">
        <v>26</v>
      </c>
      <c r="I197" t="s">
        <v>18</v>
      </c>
      <c r="J197" t="s">
        <v>28</v>
      </c>
      <c r="K197" t="s">
        <v>19</v>
      </c>
      <c r="L197" t="s">
        <v>30</v>
      </c>
      <c r="M197" t="s">
        <v>21</v>
      </c>
    </row>
    <row r="198" spans="1:13">
      <c r="A198" t="s">
        <v>235</v>
      </c>
      <c r="B198">
        <f t="shared" si="3"/>
        <v>0</v>
      </c>
      <c r="C198" t="s">
        <v>23</v>
      </c>
      <c r="D198" t="s">
        <v>40</v>
      </c>
      <c r="E198">
        <v>45139</v>
      </c>
      <c r="F198" t="s">
        <v>25</v>
      </c>
      <c r="G198" t="s">
        <v>16</v>
      </c>
      <c r="H198" t="s">
        <v>17</v>
      </c>
      <c r="I198" t="s">
        <v>27</v>
      </c>
      <c r="J198" t="s">
        <v>28</v>
      </c>
      <c r="K198" t="s">
        <v>29</v>
      </c>
      <c r="L198" t="s">
        <v>20</v>
      </c>
      <c r="M198" t="s">
        <v>31</v>
      </c>
    </row>
    <row r="199" spans="1:13">
      <c r="A199" t="s">
        <v>236</v>
      </c>
      <c r="B199">
        <f t="shared" si="3"/>
        <v>1</v>
      </c>
      <c r="C199" t="s">
        <v>13</v>
      </c>
      <c r="D199" t="s">
        <v>42</v>
      </c>
      <c r="E199">
        <v>45144</v>
      </c>
      <c r="F199" t="s">
        <v>15</v>
      </c>
      <c r="G199" t="s">
        <v>35</v>
      </c>
      <c r="H199" t="s">
        <v>26</v>
      </c>
      <c r="I199" t="s">
        <v>18</v>
      </c>
      <c r="J199" t="s">
        <v>15</v>
      </c>
      <c r="K199" t="s">
        <v>19</v>
      </c>
      <c r="L199" t="s">
        <v>30</v>
      </c>
      <c r="M199" t="s">
        <v>21</v>
      </c>
    </row>
    <row r="200" spans="1:13">
      <c r="A200" t="s">
        <v>237</v>
      </c>
      <c r="B200">
        <f t="shared" si="3"/>
        <v>0</v>
      </c>
      <c r="C200" t="s">
        <v>23</v>
      </c>
      <c r="D200" t="s">
        <v>14</v>
      </c>
      <c r="E200">
        <v>45149</v>
      </c>
      <c r="F200" t="s">
        <v>34</v>
      </c>
      <c r="G200" t="s">
        <v>16</v>
      </c>
      <c r="H200" t="s">
        <v>17</v>
      </c>
      <c r="I200" t="s">
        <v>18</v>
      </c>
      <c r="J200" t="s">
        <v>28</v>
      </c>
      <c r="K200" t="s">
        <v>29</v>
      </c>
      <c r="L200" t="s">
        <v>20</v>
      </c>
      <c r="M200" t="s">
        <v>21</v>
      </c>
    </row>
    <row r="201" spans="1:13">
      <c r="A201" t="s">
        <v>238</v>
      </c>
      <c r="B201">
        <f t="shared" si="3"/>
        <v>1</v>
      </c>
      <c r="C201" t="s">
        <v>13</v>
      </c>
      <c r="D201" t="s">
        <v>37</v>
      </c>
      <c r="E201">
        <v>45154</v>
      </c>
      <c r="F201" t="s">
        <v>15</v>
      </c>
      <c r="G201" t="s">
        <v>16</v>
      </c>
      <c r="H201" t="s">
        <v>17</v>
      </c>
      <c r="I201" t="s">
        <v>18</v>
      </c>
      <c r="J201" t="s">
        <v>15</v>
      </c>
      <c r="K201" t="s">
        <v>19</v>
      </c>
      <c r="L201" t="s">
        <v>20</v>
      </c>
      <c r="M201" t="s">
        <v>21</v>
      </c>
    </row>
    <row r="202" spans="1:13">
      <c r="A202" t="s">
        <v>239</v>
      </c>
      <c r="B202">
        <f t="shared" si="3"/>
        <v>0</v>
      </c>
      <c r="C202" t="s">
        <v>13</v>
      </c>
      <c r="D202" t="s">
        <v>42</v>
      </c>
      <c r="E202">
        <v>45159</v>
      </c>
      <c r="F202" t="s">
        <v>34</v>
      </c>
      <c r="G202" t="s">
        <v>16</v>
      </c>
      <c r="H202" t="s">
        <v>17</v>
      </c>
      <c r="I202" t="s">
        <v>27</v>
      </c>
      <c r="J202" t="s">
        <v>28</v>
      </c>
      <c r="K202" t="s">
        <v>19</v>
      </c>
      <c r="L202" t="s">
        <v>20</v>
      </c>
      <c r="M202" t="s">
        <v>31</v>
      </c>
    </row>
    <row r="203" spans="1:13">
      <c r="A203" t="s">
        <v>240</v>
      </c>
      <c r="B203">
        <f t="shared" si="3"/>
        <v>1</v>
      </c>
      <c r="C203" t="s">
        <v>23</v>
      </c>
      <c r="D203" t="s">
        <v>14</v>
      </c>
      <c r="E203">
        <v>45164</v>
      </c>
      <c r="F203" t="s">
        <v>15</v>
      </c>
      <c r="G203" t="s">
        <v>16</v>
      </c>
      <c r="H203" t="s">
        <v>26</v>
      </c>
      <c r="I203" t="s">
        <v>18</v>
      </c>
      <c r="J203" t="s">
        <v>15</v>
      </c>
      <c r="K203" t="s">
        <v>29</v>
      </c>
      <c r="L203" t="s">
        <v>30</v>
      </c>
      <c r="M203" t="s">
        <v>21</v>
      </c>
    </row>
    <row r="204" spans="1:13">
      <c r="A204" t="s">
        <v>241</v>
      </c>
      <c r="B204">
        <f t="shared" si="3"/>
        <v>0</v>
      </c>
      <c r="C204" t="s">
        <v>13</v>
      </c>
      <c r="D204" t="s">
        <v>37</v>
      </c>
      <c r="E204">
        <v>45169</v>
      </c>
      <c r="F204" t="s">
        <v>25</v>
      </c>
      <c r="G204" t="s">
        <v>35</v>
      </c>
      <c r="H204" t="s">
        <v>46</v>
      </c>
      <c r="I204" t="s">
        <v>27</v>
      </c>
      <c r="J204" t="s">
        <v>28</v>
      </c>
      <c r="K204" t="s">
        <v>19</v>
      </c>
      <c r="L204" t="s">
        <v>47</v>
      </c>
      <c r="M204" t="s">
        <v>31</v>
      </c>
    </row>
    <row r="205" spans="1:13">
      <c r="A205" t="s">
        <v>242</v>
      </c>
      <c r="B205">
        <f t="shared" si="3"/>
        <v>1</v>
      </c>
      <c r="C205" t="s">
        <v>23</v>
      </c>
      <c r="D205" t="s">
        <v>40</v>
      </c>
      <c r="E205">
        <v>45146</v>
      </c>
      <c r="F205" t="s">
        <v>15</v>
      </c>
      <c r="G205" t="s">
        <v>35</v>
      </c>
      <c r="H205" t="s">
        <v>26</v>
      </c>
      <c r="I205" t="s">
        <v>18</v>
      </c>
      <c r="J205" t="s">
        <v>15</v>
      </c>
      <c r="K205" t="s">
        <v>29</v>
      </c>
      <c r="L205" t="s">
        <v>30</v>
      </c>
      <c r="M205" t="s">
        <v>21</v>
      </c>
    </row>
    <row r="206" spans="1:13">
      <c r="A206" t="s">
        <v>243</v>
      </c>
      <c r="B206">
        <f t="shared" si="3"/>
        <v>0</v>
      </c>
      <c r="C206" t="s">
        <v>13</v>
      </c>
      <c r="D206" t="s">
        <v>42</v>
      </c>
      <c r="E206">
        <v>45151</v>
      </c>
      <c r="F206" t="s">
        <v>34</v>
      </c>
      <c r="G206" t="s">
        <v>16</v>
      </c>
      <c r="H206" t="s">
        <v>26</v>
      </c>
      <c r="I206" t="s">
        <v>18</v>
      </c>
      <c r="J206" t="s">
        <v>28</v>
      </c>
      <c r="K206" t="s">
        <v>19</v>
      </c>
      <c r="L206" t="s">
        <v>30</v>
      </c>
      <c r="M206" t="s">
        <v>21</v>
      </c>
    </row>
    <row r="207" spans="1:13">
      <c r="A207" t="s">
        <v>244</v>
      </c>
      <c r="B207">
        <f t="shared" si="3"/>
        <v>1</v>
      </c>
      <c r="C207" t="s">
        <v>23</v>
      </c>
      <c r="D207" t="s">
        <v>14</v>
      </c>
      <c r="E207">
        <v>45156</v>
      </c>
      <c r="F207" t="s">
        <v>15</v>
      </c>
      <c r="G207" t="s">
        <v>16</v>
      </c>
      <c r="H207" t="s">
        <v>17</v>
      </c>
      <c r="I207" t="s">
        <v>18</v>
      </c>
      <c r="J207" t="s">
        <v>15</v>
      </c>
      <c r="K207" t="s">
        <v>29</v>
      </c>
      <c r="L207" t="s">
        <v>20</v>
      </c>
      <c r="M207" t="s">
        <v>21</v>
      </c>
    </row>
    <row r="208" spans="1:13">
      <c r="A208" t="s">
        <v>245</v>
      </c>
      <c r="B208">
        <f t="shared" si="3"/>
        <v>0</v>
      </c>
      <c r="C208" t="s">
        <v>13</v>
      </c>
      <c r="D208" t="s">
        <v>37</v>
      </c>
      <c r="E208">
        <v>45161</v>
      </c>
      <c r="F208" t="s">
        <v>38</v>
      </c>
      <c r="G208" t="s">
        <v>35</v>
      </c>
      <c r="H208" t="s">
        <v>26</v>
      </c>
      <c r="I208" t="s">
        <v>27</v>
      </c>
      <c r="J208" t="s">
        <v>28</v>
      </c>
      <c r="K208" t="s">
        <v>19</v>
      </c>
      <c r="L208" t="s">
        <v>30</v>
      </c>
      <c r="M208" t="s">
        <v>31</v>
      </c>
    </row>
    <row r="209" spans="1:13">
      <c r="A209" t="s">
        <v>246</v>
      </c>
      <c r="B209">
        <f t="shared" si="3"/>
        <v>0</v>
      </c>
      <c r="C209" t="s">
        <v>23</v>
      </c>
      <c r="D209" t="s">
        <v>40</v>
      </c>
      <c r="E209">
        <v>45166</v>
      </c>
      <c r="F209" t="s">
        <v>25</v>
      </c>
      <c r="G209" t="s">
        <v>16</v>
      </c>
      <c r="H209" t="s">
        <v>17</v>
      </c>
      <c r="I209" t="s">
        <v>18</v>
      </c>
      <c r="J209" t="s">
        <v>28</v>
      </c>
      <c r="K209" t="s">
        <v>29</v>
      </c>
      <c r="L209" t="s">
        <v>20</v>
      </c>
      <c r="M209" t="s">
        <v>21</v>
      </c>
    </row>
    <row r="210" spans="1:13">
      <c r="A210" t="s">
        <v>247</v>
      </c>
      <c r="B210">
        <f t="shared" si="3"/>
        <v>1</v>
      </c>
      <c r="C210" t="s">
        <v>13</v>
      </c>
      <c r="D210" t="s">
        <v>42</v>
      </c>
      <c r="E210">
        <v>45144</v>
      </c>
      <c r="F210" t="s">
        <v>15</v>
      </c>
      <c r="G210" t="s">
        <v>35</v>
      </c>
      <c r="H210" t="s">
        <v>26</v>
      </c>
      <c r="I210" t="s">
        <v>18</v>
      </c>
      <c r="J210" t="s">
        <v>15</v>
      </c>
      <c r="K210" t="s">
        <v>19</v>
      </c>
      <c r="L210" t="s">
        <v>30</v>
      </c>
      <c r="M210" t="s">
        <v>21</v>
      </c>
    </row>
    <row r="211" spans="1:13">
      <c r="A211" t="s">
        <v>248</v>
      </c>
      <c r="B211">
        <f t="shared" si="3"/>
        <v>0</v>
      </c>
      <c r="C211" t="s">
        <v>23</v>
      </c>
      <c r="D211" t="s">
        <v>14</v>
      </c>
      <c r="E211">
        <v>45149</v>
      </c>
      <c r="F211" t="s">
        <v>34</v>
      </c>
      <c r="G211" t="s">
        <v>16</v>
      </c>
      <c r="H211" t="s">
        <v>17</v>
      </c>
      <c r="I211" t="s">
        <v>18</v>
      </c>
      <c r="J211" t="s">
        <v>28</v>
      </c>
      <c r="K211" t="s">
        <v>29</v>
      </c>
      <c r="L211" t="s">
        <v>20</v>
      </c>
      <c r="M211" t="s">
        <v>21</v>
      </c>
    </row>
    <row r="212" spans="1:13">
      <c r="A212" t="s">
        <v>249</v>
      </c>
      <c r="B212">
        <f t="shared" si="3"/>
        <v>1</v>
      </c>
      <c r="C212" t="s">
        <v>13</v>
      </c>
      <c r="D212" t="s">
        <v>37</v>
      </c>
      <c r="E212">
        <v>45154</v>
      </c>
      <c r="F212" t="s">
        <v>15</v>
      </c>
      <c r="G212" t="s">
        <v>16</v>
      </c>
      <c r="H212" t="s">
        <v>17</v>
      </c>
      <c r="I212" t="s">
        <v>18</v>
      </c>
      <c r="J212" t="s">
        <v>15</v>
      </c>
      <c r="K212" t="s">
        <v>19</v>
      </c>
      <c r="L212" t="s">
        <v>20</v>
      </c>
      <c r="M212" t="s">
        <v>21</v>
      </c>
    </row>
    <row r="213" spans="1:13">
      <c r="A213" t="s">
        <v>250</v>
      </c>
      <c r="B213">
        <f t="shared" si="3"/>
        <v>0</v>
      </c>
      <c r="C213" t="s">
        <v>23</v>
      </c>
      <c r="D213" t="s">
        <v>40</v>
      </c>
      <c r="E213">
        <v>45159</v>
      </c>
      <c r="F213" t="s">
        <v>25</v>
      </c>
      <c r="G213" t="s">
        <v>35</v>
      </c>
      <c r="H213" t="s">
        <v>46</v>
      </c>
      <c r="I213" t="s">
        <v>27</v>
      </c>
      <c r="J213" t="s">
        <v>28</v>
      </c>
      <c r="K213" t="s">
        <v>29</v>
      </c>
      <c r="L213" t="s">
        <v>47</v>
      </c>
      <c r="M213" t="s">
        <v>31</v>
      </c>
    </row>
    <row r="214" spans="1:13">
      <c r="A214" t="s">
        <v>251</v>
      </c>
      <c r="B214">
        <f t="shared" si="3"/>
        <v>1</v>
      </c>
      <c r="C214" t="s">
        <v>13</v>
      </c>
      <c r="D214" t="s">
        <v>42</v>
      </c>
      <c r="E214">
        <v>45164</v>
      </c>
      <c r="F214" t="s">
        <v>15</v>
      </c>
      <c r="G214" t="s">
        <v>16</v>
      </c>
      <c r="H214" t="s">
        <v>26</v>
      </c>
      <c r="I214" t="s">
        <v>18</v>
      </c>
      <c r="J214" t="s">
        <v>15</v>
      </c>
      <c r="K214" t="s">
        <v>19</v>
      </c>
      <c r="L214" t="s">
        <v>30</v>
      </c>
      <c r="M214" t="s">
        <v>21</v>
      </c>
    </row>
    <row r="215" spans="1:13">
      <c r="A215" t="s">
        <v>252</v>
      </c>
      <c r="B215">
        <f t="shared" si="3"/>
        <v>0</v>
      </c>
      <c r="C215" t="s">
        <v>23</v>
      </c>
      <c r="D215" t="s">
        <v>14</v>
      </c>
      <c r="E215">
        <v>45169</v>
      </c>
      <c r="F215" t="s">
        <v>34</v>
      </c>
      <c r="G215" t="s">
        <v>16</v>
      </c>
      <c r="H215" t="s">
        <v>17</v>
      </c>
      <c r="I215" t="s">
        <v>18</v>
      </c>
      <c r="J215" t="s">
        <v>28</v>
      </c>
      <c r="K215" t="s">
        <v>29</v>
      </c>
      <c r="L215" t="s">
        <v>20</v>
      </c>
      <c r="M215" t="s">
        <v>21</v>
      </c>
    </row>
    <row r="216" spans="1:13">
      <c r="A216" t="s">
        <v>253</v>
      </c>
      <c r="B216">
        <f t="shared" si="3"/>
        <v>1</v>
      </c>
      <c r="C216" t="s">
        <v>13</v>
      </c>
      <c r="D216" t="s">
        <v>37</v>
      </c>
      <c r="E216">
        <v>45145</v>
      </c>
      <c r="F216" t="s">
        <v>15</v>
      </c>
      <c r="G216" t="s">
        <v>35</v>
      </c>
      <c r="H216" t="s">
        <v>26</v>
      </c>
      <c r="I216" t="s">
        <v>27</v>
      </c>
      <c r="J216" t="s">
        <v>15</v>
      </c>
      <c r="K216" t="s">
        <v>19</v>
      </c>
      <c r="L216" t="s">
        <v>30</v>
      </c>
      <c r="M216" t="s">
        <v>31</v>
      </c>
    </row>
    <row r="217" spans="1:13">
      <c r="A217" t="s">
        <v>254</v>
      </c>
      <c r="B217">
        <f t="shared" si="3"/>
        <v>0</v>
      </c>
      <c r="C217" t="s">
        <v>23</v>
      </c>
      <c r="D217" t="s">
        <v>40</v>
      </c>
      <c r="E217">
        <v>45150</v>
      </c>
      <c r="F217" t="s">
        <v>38</v>
      </c>
      <c r="G217" t="s">
        <v>35</v>
      </c>
      <c r="H217" t="s">
        <v>26</v>
      </c>
      <c r="I217" t="s">
        <v>18</v>
      </c>
      <c r="J217" t="s">
        <v>28</v>
      </c>
      <c r="K217" t="s">
        <v>29</v>
      </c>
      <c r="L217" t="s">
        <v>30</v>
      </c>
      <c r="M217" t="s">
        <v>21</v>
      </c>
    </row>
    <row r="218" spans="1:13">
      <c r="A218" t="s">
        <v>255</v>
      </c>
      <c r="B218">
        <f t="shared" si="3"/>
        <v>0</v>
      </c>
      <c r="C218" t="s">
        <v>13</v>
      </c>
      <c r="D218" t="s">
        <v>42</v>
      </c>
      <c r="E218">
        <v>45155</v>
      </c>
      <c r="F218" t="s">
        <v>25</v>
      </c>
      <c r="G218" t="s">
        <v>16</v>
      </c>
      <c r="H218" t="s">
        <v>17</v>
      </c>
      <c r="I218" t="s">
        <v>18</v>
      </c>
      <c r="J218" t="s">
        <v>28</v>
      </c>
      <c r="K218" t="s">
        <v>19</v>
      </c>
      <c r="L218" t="s">
        <v>20</v>
      </c>
      <c r="M218" t="s">
        <v>21</v>
      </c>
    </row>
    <row r="219" spans="1:13">
      <c r="A219" t="s">
        <v>256</v>
      </c>
      <c r="B219">
        <f t="shared" si="3"/>
        <v>1</v>
      </c>
      <c r="C219" t="s">
        <v>23</v>
      </c>
      <c r="D219" t="s">
        <v>14</v>
      </c>
      <c r="E219">
        <v>45160</v>
      </c>
      <c r="F219" t="s">
        <v>15</v>
      </c>
      <c r="G219" t="s">
        <v>16</v>
      </c>
      <c r="H219" t="s">
        <v>17</v>
      </c>
      <c r="I219" t="s">
        <v>18</v>
      </c>
      <c r="J219" t="s">
        <v>15</v>
      </c>
      <c r="K219" t="s">
        <v>29</v>
      </c>
      <c r="L219" t="s">
        <v>20</v>
      </c>
      <c r="M219" t="s">
        <v>21</v>
      </c>
    </row>
    <row r="220" spans="1:13">
      <c r="A220" t="s">
        <v>257</v>
      </c>
      <c r="B220">
        <f t="shared" si="3"/>
        <v>0</v>
      </c>
      <c r="C220" t="s">
        <v>13</v>
      </c>
      <c r="D220" t="s">
        <v>37</v>
      </c>
      <c r="E220">
        <v>45165</v>
      </c>
      <c r="F220" t="s">
        <v>34</v>
      </c>
      <c r="G220" t="s">
        <v>35</v>
      </c>
      <c r="H220" t="s">
        <v>46</v>
      </c>
      <c r="I220" t="s">
        <v>18</v>
      </c>
      <c r="J220" t="s">
        <v>28</v>
      </c>
      <c r="K220" t="s">
        <v>19</v>
      </c>
      <c r="L220" t="s">
        <v>47</v>
      </c>
      <c r="M220" t="s">
        <v>21</v>
      </c>
    </row>
    <row r="221" spans="1:13">
      <c r="A221" t="s">
        <v>258</v>
      </c>
      <c r="B221">
        <f t="shared" si="3"/>
        <v>1</v>
      </c>
      <c r="C221" t="s">
        <v>23</v>
      </c>
      <c r="D221" t="s">
        <v>40</v>
      </c>
      <c r="E221">
        <v>45141</v>
      </c>
      <c r="F221" t="s">
        <v>15</v>
      </c>
      <c r="G221" t="s">
        <v>16</v>
      </c>
      <c r="H221" t="s">
        <v>17</v>
      </c>
      <c r="I221" t="s">
        <v>18</v>
      </c>
      <c r="J221" t="s">
        <v>15</v>
      </c>
      <c r="K221" t="s">
        <v>29</v>
      </c>
      <c r="L221" t="s">
        <v>20</v>
      </c>
      <c r="M221" t="s">
        <v>21</v>
      </c>
    </row>
    <row r="222" spans="1:13">
      <c r="A222" t="s">
        <v>259</v>
      </c>
      <c r="B222">
        <f t="shared" si="3"/>
        <v>0</v>
      </c>
      <c r="C222" t="s">
        <v>13</v>
      </c>
      <c r="D222" t="s">
        <v>42</v>
      </c>
      <c r="E222">
        <v>45146</v>
      </c>
      <c r="F222" t="s">
        <v>34</v>
      </c>
      <c r="G222" t="s">
        <v>35</v>
      </c>
      <c r="H222" t="s">
        <v>26</v>
      </c>
      <c r="I222" t="s">
        <v>18</v>
      </c>
      <c r="J222" t="s">
        <v>28</v>
      </c>
      <c r="K222" t="s">
        <v>19</v>
      </c>
      <c r="L222" t="s">
        <v>30</v>
      </c>
      <c r="M222" t="s">
        <v>21</v>
      </c>
    </row>
    <row r="223" spans="1:13">
      <c r="A223" t="s">
        <v>260</v>
      </c>
      <c r="B223">
        <f t="shared" si="3"/>
        <v>1</v>
      </c>
      <c r="C223" t="s">
        <v>23</v>
      </c>
      <c r="D223" t="s">
        <v>14</v>
      </c>
      <c r="E223">
        <v>45151</v>
      </c>
      <c r="F223" t="s">
        <v>15</v>
      </c>
      <c r="G223" t="s">
        <v>16</v>
      </c>
      <c r="H223" t="s">
        <v>17</v>
      </c>
      <c r="I223" t="s">
        <v>27</v>
      </c>
      <c r="J223" t="s">
        <v>15</v>
      </c>
      <c r="K223" t="s">
        <v>29</v>
      </c>
      <c r="L223" t="s">
        <v>20</v>
      </c>
      <c r="M223" t="s">
        <v>31</v>
      </c>
    </row>
    <row r="224" spans="1:13">
      <c r="A224" t="s">
        <v>261</v>
      </c>
      <c r="B224">
        <f t="shared" si="3"/>
        <v>0</v>
      </c>
      <c r="C224" t="s">
        <v>13</v>
      </c>
      <c r="D224" t="s">
        <v>37</v>
      </c>
      <c r="E224">
        <v>45156</v>
      </c>
      <c r="F224" t="s">
        <v>25</v>
      </c>
      <c r="G224" t="s">
        <v>16</v>
      </c>
      <c r="H224" t="s">
        <v>26</v>
      </c>
      <c r="I224" t="s">
        <v>18</v>
      </c>
      <c r="J224" t="s">
        <v>28</v>
      </c>
      <c r="K224" t="s">
        <v>19</v>
      </c>
      <c r="L224" t="s">
        <v>30</v>
      </c>
      <c r="M224" t="s">
        <v>21</v>
      </c>
    </row>
    <row r="225" spans="1:13">
      <c r="A225" t="s">
        <v>262</v>
      </c>
      <c r="B225">
        <f t="shared" si="3"/>
        <v>1</v>
      </c>
      <c r="C225" t="s">
        <v>23</v>
      </c>
      <c r="D225" t="s">
        <v>40</v>
      </c>
      <c r="E225">
        <v>45161</v>
      </c>
      <c r="F225" t="s">
        <v>15</v>
      </c>
      <c r="G225" t="s">
        <v>35</v>
      </c>
      <c r="H225" t="s">
        <v>17</v>
      </c>
      <c r="I225" t="s">
        <v>18</v>
      </c>
      <c r="J225" t="s">
        <v>15</v>
      </c>
      <c r="K225" t="s">
        <v>29</v>
      </c>
      <c r="L225" t="s">
        <v>20</v>
      </c>
      <c r="M225" t="s">
        <v>21</v>
      </c>
    </row>
    <row r="226" spans="1:13">
      <c r="A226" t="s">
        <v>263</v>
      </c>
      <c r="B226">
        <f t="shared" si="3"/>
        <v>0</v>
      </c>
      <c r="C226" t="s">
        <v>13</v>
      </c>
      <c r="D226" t="s">
        <v>42</v>
      </c>
      <c r="E226">
        <v>45166</v>
      </c>
      <c r="F226" t="s">
        <v>34</v>
      </c>
      <c r="G226" t="s">
        <v>16</v>
      </c>
      <c r="H226" t="s">
        <v>26</v>
      </c>
      <c r="I226" t="s">
        <v>18</v>
      </c>
      <c r="J226" t="s">
        <v>28</v>
      </c>
      <c r="K226" t="s">
        <v>19</v>
      </c>
      <c r="L226" t="s">
        <v>30</v>
      </c>
      <c r="M226" t="s">
        <v>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D72C4DE8-4594-498A-B7E3-673CA564E69B}">
  <ds:schemaRefs/>
</ds:datastoreItem>
</file>

<file path=customXml/itemProps2.xml><?xml version="1.0" encoding="utf-8"?>
<ds:datastoreItem xmlns:ds="http://schemas.openxmlformats.org/officeDocument/2006/customXml" ds:itemID="{08D3C2CA-A3EA-4870-838B-A2E231477565}">
  <ds:schemaRefs/>
</ds:datastoreItem>
</file>

<file path=customXml/itemProps3.xml><?xml version="1.0" encoding="utf-8"?>
<ds:datastoreItem xmlns:ds="http://schemas.openxmlformats.org/officeDocument/2006/customXml" ds:itemID="{80CD8FBA-2034-4401-8810-65175E25B3AD}">
  <ds:schemaRefs/>
</ds:datastoreItem>
</file>

<file path=customXml/itemProps4.xml><?xml version="1.0" encoding="utf-8"?>
<ds:datastoreItem xmlns:ds="http://schemas.openxmlformats.org/officeDocument/2006/customXml" ds:itemID="{2A182E35-BD49-4346-AF94-0F427333E855}">
  <ds:schemaRefs/>
</ds:datastoreItem>
</file>

<file path=customXml/itemProps5.xml><?xml version="1.0" encoding="utf-8"?>
<ds:datastoreItem xmlns:ds="http://schemas.openxmlformats.org/officeDocument/2006/customXml" ds:itemID="{A04CC3FC-0C81-46CB-8450-E7A08F65C93B}">
  <ds:schemaRefs/>
</ds:datastoreItem>
</file>

<file path=customXml/itemProps6.xml><?xml version="1.0" encoding="utf-8"?>
<ds:datastoreItem xmlns:ds="http://schemas.openxmlformats.org/officeDocument/2006/customXml" ds:itemID="{1ED11490-D602-4A0E-8D74-56A855015015}">
  <ds:schemaRefs/>
</ds:datastoreItem>
</file>

<file path=customXml/itemProps7.xml><?xml version="1.0" encoding="utf-8"?>
<ds:datastoreItem xmlns:ds="http://schemas.openxmlformats.org/officeDocument/2006/customXml" ds:itemID="{B770F31F-2CA8-406A-BDCC-43F71188FCA6}">
  <ds:schemaRefs/>
</ds:datastoreItem>
</file>

<file path=customXml/itemProps8.xml><?xml version="1.0" encoding="utf-8"?>
<ds:datastoreItem xmlns:ds="http://schemas.openxmlformats.org/officeDocument/2006/customXml" ds:itemID="{D25F85EB-3C24-4589-8678-D80D97F74E57}">
  <ds:schemaRefs/>
</ds:datastoreItem>
</file>

<file path=customXml/itemProps9.xml><?xml version="1.0" encoding="utf-8"?>
<ds:datastoreItem xmlns:ds="http://schemas.openxmlformats.org/officeDocument/2006/customXml" ds:itemID="{991BBC77-C105-42F7-AB65-85D6B22329BA}">
  <ds:schemaRefs/>
</ds:datastoreItem>
</file>

<file path=customXml/itemProps10.xml><?xml version="1.0" encoding="utf-8"?>
<ds:datastoreItem xmlns:ds="http://schemas.openxmlformats.org/officeDocument/2006/customXml" ds:itemID="{271FD370-9DFE-49CA-8586-CD9C4E8FEC3D}">
  <ds:schemaRefs>
    <ds:schemaRef ds:uri="http://schemas.microsoft.com/DataMashup"/>
  </ds:schemaRefs>
</ds:datastoreItem>
</file>

<file path=customXml/itemProps11.xml><?xml version="1.0" encoding="utf-8"?>
<ds:datastoreItem xmlns:ds="http://schemas.openxmlformats.org/officeDocument/2006/customXml" ds:itemID="{C45A34CA-568D-43CB-B30E-F6E8612DC58F}">
  <ds:schemaRefs/>
</ds:datastoreItem>
</file>

<file path=customXml/itemProps12.xml><?xml version="1.0" encoding="utf-8"?>
<ds:datastoreItem xmlns:ds="http://schemas.openxmlformats.org/officeDocument/2006/customXml" ds:itemID="{08A5D0FE-A31F-43A9-AA87-6D627F05C1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DASH</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Anietie Etuk</dc:creator>
  <cp:lastModifiedBy>user</cp:lastModifiedBy>
  <dcterms:created xsi:type="dcterms:W3CDTF">2025-12-29T08:35:49Z</dcterms:created>
  <dcterms:modified xsi:type="dcterms:W3CDTF">2026-01-14T14:33:55Z</dcterms:modified>
</cp:coreProperties>
</file>